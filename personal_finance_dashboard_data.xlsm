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slicers/slicer1.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Ex1.xml" ContentType="application/vnd.ms-office.chartex+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User\OneDrive\Desktop\Data Analitics Courses\Personal-Finance-Excel-Dashboard\"/>
    </mc:Choice>
  </mc:AlternateContent>
  <xr:revisionPtr revIDLastSave="0" documentId="13_ncr:1_{A1CC8627-13EC-4FE0-B85B-F7E46073E7B7}" xr6:coauthVersionLast="47" xr6:coauthVersionMax="47" xr10:uidLastSave="{00000000-0000-0000-0000-000000000000}"/>
  <bookViews>
    <workbookView xWindow="-108" yWindow="-108" windowWidth="23256" windowHeight="12456" activeTab="1" xr2:uid="{4A204AC9-94D1-43A0-A139-E31A33CD38CE}"/>
  </bookViews>
  <sheets>
    <sheet name="Dashboard (2)" sheetId="6" r:id="rId1"/>
    <sheet name="Dashboard" sheetId="4" r:id="rId2"/>
    <sheet name="Pivot" sheetId="3" r:id="rId3"/>
    <sheet name="personal_finance_dashboard_data" sheetId="2" r:id="rId4"/>
  </sheets>
  <definedNames>
    <definedName name="_xlchart.v1.0" hidden="1">Pivot!$K$28:$K$31</definedName>
    <definedName name="_xlchart.v1.1" hidden="1">Pivot!$L$28:$L$31</definedName>
    <definedName name="ExternalData_1" localSheetId="3" hidden="1">personal_finance_dashboard_data!$A$1:$R$201</definedName>
    <definedName name="Slicer_Month">#N/A</definedName>
    <definedName name="Slicer_Payment_Method">#N/A</definedName>
  </definedNames>
  <calcPr calcId="191029"/>
  <pivotCaches>
    <pivotCache cacheId="0" r:id="rId5"/>
  </pivotCaches>
  <extLst>
    <ext xmlns:x14="http://schemas.microsoft.com/office/spreadsheetml/2009/9/main" uri="{BBE1A952-AA13-448e-AADC-164F8A28A991}">
      <x14:slicerCaches>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170" i="2" l="1"/>
  <c r="S9" i="2"/>
  <c r="S2" i="2"/>
  <c r="S92" i="2"/>
  <c r="S153" i="2"/>
  <c r="S169" i="2"/>
  <c r="S126" i="2"/>
  <c r="S69" i="2"/>
  <c r="S35" i="2"/>
  <c r="S138" i="2"/>
  <c r="S99" i="2"/>
  <c r="S78" i="2"/>
  <c r="S96" i="2"/>
  <c r="S62" i="2"/>
  <c r="S141" i="2"/>
  <c r="S120" i="2"/>
  <c r="S3" i="2"/>
  <c r="S185" i="2"/>
  <c r="S91" i="2"/>
  <c r="S54" i="2"/>
  <c r="S142" i="2"/>
  <c r="S55" i="2"/>
  <c r="S39" i="2"/>
  <c r="S18" i="2"/>
  <c r="S113" i="2"/>
  <c r="S19" i="2"/>
  <c r="S65" i="2"/>
  <c r="S66" i="2"/>
  <c r="S137" i="2"/>
  <c r="S171" i="2"/>
  <c r="S155" i="2"/>
  <c r="S148" i="2"/>
  <c r="S186" i="2"/>
  <c r="S83" i="2"/>
  <c r="S189" i="2"/>
  <c r="S117" i="2"/>
  <c r="S115" i="2"/>
  <c r="S108" i="2"/>
  <c r="S73" i="2"/>
  <c r="S181" i="2"/>
  <c r="S37" i="2"/>
  <c r="S133" i="2"/>
  <c r="S30" i="2"/>
  <c r="S41" i="2"/>
  <c r="S20" i="2"/>
  <c r="S199" i="2"/>
  <c r="S156" i="2"/>
  <c r="S57" i="2"/>
  <c r="S164" i="2"/>
  <c r="S100" i="2"/>
  <c r="S6" i="2"/>
  <c r="S63" i="2"/>
  <c r="S84" i="2"/>
  <c r="S197" i="2"/>
  <c r="S4" i="2"/>
  <c r="S118" i="2"/>
  <c r="S87" i="2"/>
  <c r="S145" i="2"/>
  <c r="S175" i="2"/>
  <c r="S130" i="2"/>
  <c r="S61" i="2"/>
  <c r="S26" i="2"/>
  <c r="S16" i="2"/>
  <c r="S89" i="2"/>
  <c r="S38" i="2"/>
  <c r="S157" i="2"/>
  <c r="S49" i="2"/>
  <c r="S198" i="2"/>
  <c r="S70" i="2"/>
  <c r="S135" i="2"/>
  <c r="S187" i="2"/>
  <c r="S23" i="2"/>
  <c r="S183" i="2"/>
  <c r="S110" i="2"/>
  <c r="S121" i="2"/>
  <c r="S58" i="2"/>
  <c r="S128" i="2"/>
  <c r="S111" i="2"/>
  <c r="S86" i="2"/>
  <c r="S200" i="2"/>
  <c r="S122" i="2"/>
  <c r="S165" i="2"/>
  <c r="S166" i="2"/>
  <c r="S11" i="2"/>
  <c r="S47" i="2"/>
  <c r="S172" i="2"/>
  <c r="S173" i="2"/>
  <c r="S154" i="2"/>
  <c r="S60" i="2"/>
  <c r="S10" i="2"/>
  <c r="S45" i="2"/>
  <c r="S190" i="2"/>
  <c r="S188" i="2"/>
  <c r="S176" i="2"/>
  <c r="S134" i="2"/>
  <c r="S112" i="2"/>
  <c r="S27" i="2"/>
  <c r="S24" i="2"/>
  <c r="S144" i="2"/>
  <c r="S50" i="2"/>
  <c r="S67" i="2"/>
  <c r="S136" i="2"/>
  <c r="S193" i="2"/>
  <c r="S72" i="2"/>
  <c r="S178" i="2"/>
  <c r="S114" i="2"/>
  <c r="S97" i="2"/>
  <c r="S158" i="2"/>
  <c r="S28" i="2"/>
  <c r="S88" i="2"/>
  <c r="S98" i="2"/>
  <c r="S40" i="2"/>
  <c r="S56" i="2"/>
  <c r="S105" i="2"/>
  <c r="S116" i="2"/>
  <c r="S125" i="2"/>
  <c r="S48" i="2"/>
  <c r="S106" i="2"/>
  <c r="S90" i="2"/>
  <c r="S149" i="2"/>
  <c r="S167" i="2"/>
  <c r="S95" i="2"/>
  <c r="S85" i="2"/>
  <c r="S123" i="2"/>
  <c r="S168" i="2"/>
  <c r="S22" i="2"/>
  <c r="S31" i="2"/>
  <c r="S132" i="2"/>
  <c r="S184" i="2"/>
  <c r="S93" i="2"/>
  <c r="S191" i="2"/>
  <c r="S17" i="2"/>
  <c r="S119" i="2"/>
  <c r="S101" i="2"/>
  <c r="S129" i="2"/>
  <c r="S74" i="2"/>
  <c r="S36" i="2"/>
  <c r="S104" i="2"/>
  <c r="S182" i="2"/>
  <c r="S194" i="2"/>
  <c r="S12" i="2"/>
  <c r="S75" i="2"/>
  <c r="S102" i="2"/>
  <c r="S159" i="2"/>
  <c r="S46" i="2"/>
  <c r="S94" i="2"/>
  <c r="S103" i="2"/>
  <c r="S107" i="2"/>
  <c r="S68" i="2"/>
  <c r="S51" i="2"/>
  <c r="S42" i="2"/>
  <c r="S127" i="2"/>
  <c r="S109" i="2"/>
  <c r="S32" i="2"/>
  <c r="S59" i="2"/>
  <c r="S162" i="2"/>
  <c r="S174" i="2"/>
  <c r="S195" i="2"/>
  <c r="S160" i="2"/>
  <c r="S64" i="2"/>
  <c r="S43" i="2"/>
  <c r="S8" i="2"/>
  <c r="S76" i="2"/>
  <c r="S151" i="2"/>
  <c r="S25" i="2"/>
  <c r="S13" i="2"/>
  <c r="S44" i="2"/>
  <c r="S131" i="2"/>
  <c r="S179" i="2"/>
  <c r="S7" i="2"/>
  <c r="S201" i="2"/>
  <c r="S140" i="2"/>
  <c r="S80" i="2"/>
  <c r="S152" i="2"/>
  <c r="S180" i="2"/>
  <c r="S15" i="2"/>
  <c r="S143" i="2"/>
  <c r="S177" i="2"/>
  <c r="S77" i="2"/>
  <c r="S33" i="2"/>
  <c r="S79" i="2"/>
  <c r="S52" i="2"/>
  <c r="S81" i="2"/>
  <c r="S196" i="2"/>
  <c r="S161" i="2"/>
  <c r="S21" i="2"/>
  <c r="S192" i="2"/>
  <c r="S150" i="2"/>
  <c r="S14" i="2"/>
  <c r="S34" i="2"/>
  <c r="S29" i="2"/>
  <c r="S139" i="2"/>
  <c r="S163" i="2"/>
  <c r="S124" i="2"/>
  <c r="S82" i="2"/>
  <c r="S146" i="2"/>
  <c r="S53" i="2"/>
  <c r="S147" i="2"/>
  <c r="S71" i="2"/>
  <c r="S5" i="2"/>
  <c r="T170" i="2"/>
  <c r="T9" i="2"/>
  <c r="T2" i="2"/>
  <c r="T92" i="2"/>
  <c r="T153" i="2"/>
  <c r="T169" i="2"/>
  <c r="T126" i="2"/>
  <c r="T69" i="2"/>
  <c r="T35" i="2"/>
  <c r="T138" i="2"/>
  <c r="T99" i="2"/>
  <c r="T78" i="2"/>
  <c r="T96" i="2"/>
  <c r="T62" i="2"/>
  <c r="T141" i="2"/>
  <c r="T120" i="2"/>
  <c r="T3" i="2"/>
  <c r="T185" i="2"/>
  <c r="T91" i="2"/>
  <c r="T54" i="2"/>
  <c r="T142" i="2"/>
  <c r="T55" i="2"/>
  <c r="T39" i="2"/>
  <c r="T18" i="2"/>
  <c r="T113" i="2"/>
  <c r="T19" i="2"/>
  <c r="T65" i="2"/>
  <c r="T66" i="2"/>
  <c r="T137" i="2"/>
  <c r="T171" i="2"/>
  <c r="T155" i="2"/>
  <c r="T148" i="2"/>
  <c r="T186" i="2"/>
  <c r="T83" i="2"/>
  <c r="T189" i="2"/>
  <c r="T117" i="2"/>
  <c r="T115" i="2"/>
  <c r="T108" i="2"/>
  <c r="T73" i="2"/>
  <c r="T181" i="2"/>
  <c r="T37" i="2"/>
  <c r="T133" i="2"/>
  <c r="T30" i="2"/>
  <c r="T41" i="2"/>
  <c r="T20" i="2"/>
  <c r="T199" i="2"/>
  <c r="T156" i="2"/>
  <c r="T57" i="2"/>
  <c r="T164" i="2"/>
  <c r="T100" i="2"/>
  <c r="T6" i="2"/>
  <c r="T63" i="2"/>
  <c r="T84" i="2"/>
  <c r="T197" i="2"/>
  <c r="T4" i="2"/>
  <c r="T118" i="2"/>
  <c r="T87" i="2"/>
  <c r="T145" i="2"/>
  <c r="T175" i="2"/>
  <c r="T130" i="2"/>
  <c r="T61" i="2"/>
  <c r="T26" i="2"/>
  <c r="T16" i="2"/>
  <c r="T89" i="2"/>
  <c r="T38" i="2"/>
  <c r="T157" i="2"/>
  <c r="T49" i="2"/>
  <c r="T198" i="2"/>
  <c r="T70" i="2"/>
  <c r="T135" i="2"/>
  <c r="T187" i="2"/>
  <c r="T23" i="2"/>
  <c r="T183" i="2"/>
  <c r="T110" i="2"/>
  <c r="T121" i="2"/>
  <c r="T58" i="2"/>
  <c r="T128" i="2"/>
  <c r="T111" i="2"/>
  <c r="T86" i="2"/>
  <c r="T200" i="2"/>
  <c r="T122" i="2"/>
  <c r="T165" i="2"/>
  <c r="T166" i="2"/>
  <c r="T11" i="2"/>
  <c r="T47" i="2"/>
  <c r="T172" i="2"/>
  <c r="T173" i="2"/>
  <c r="T154" i="2"/>
  <c r="T60" i="2"/>
  <c r="T10" i="2"/>
  <c r="T45" i="2"/>
  <c r="T190" i="2"/>
  <c r="T188" i="2"/>
  <c r="T176" i="2"/>
  <c r="T134" i="2"/>
  <c r="T112" i="2"/>
  <c r="T27" i="2"/>
  <c r="T24" i="2"/>
  <c r="T144" i="2"/>
  <c r="T50" i="2"/>
  <c r="T67" i="2"/>
  <c r="T136" i="2"/>
  <c r="T193" i="2"/>
  <c r="T72" i="2"/>
  <c r="T178" i="2"/>
  <c r="T114" i="2"/>
  <c r="T97" i="2"/>
  <c r="T158" i="2"/>
  <c r="T28" i="2"/>
  <c r="T88" i="2"/>
  <c r="T98" i="2"/>
  <c r="T40" i="2"/>
  <c r="T56" i="2"/>
  <c r="T105" i="2"/>
  <c r="T116" i="2"/>
  <c r="T125" i="2"/>
  <c r="T48" i="2"/>
  <c r="T106" i="2"/>
  <c r="T90" i="2"/>
  <c r="T149" i="2"/>
  <c r="T167" i="2"/>
  <c r="T95" i="2"/>
  <c r="T85" i="2"/>
  <c r="T123" i="2"/>
  <c r="T168" i="2"/>
  <c r="T22" i="2"/>
  <c r="T31" i="2"/>
  <c r="T132" i="2"/>
  <c r="T184" i="2"/>
  <c r="T93" i="2"/>
  <c r="T191" i="2"/>
  <c r="T17" i="2"/>
  <c r="T119" i="2"/>
  <c r="T101" i="2"/>
  <c r="T129" i="2"/>
  <c r="T74" i="2"/>
  <c r="T36" i="2"/>
  <c r="T104" i="2"/>
  <c r="T182" i="2"/>
  <c r="T194" i="2"/>
  <c r="T12" i="2"/>
  <c r="T75" i="2"/>
  <c r="T102" i="2"/>
  <c r="T159" i="2"/>
  <c r="T46" i="2"/>
  <c r="T94" i="2"/>
  <c r="T103" i="2"/>
  <c r="T107" i="2"/>
  <c r="T68" i="2"/>
  <c r="T51" i="2"/>
  <c r="T42" i="2"/>
  <c r="T127" i="2"/>
  <c r="T109" i="2"/>
  <c r="T32" i="2"/>
  <c r="T59" i="2"/>
  <c r="T162" i="2"/>
  <c r="T174" i="2"/>
  <c r="T195" i="2"/>
  <c r="T160" i="2"/>
  <c r="T64" i="2"/>
  <c r="T43" i="2"/>
  <c r="T8" i="2"/>
  <c r="T76" i="2"/>
  <c r="T151" i="2"/>
  <c r="T25" i="2"/>
  <c r="T13" i="2"/>
  <c r="T44" i="2"/>
  <c r="T131" i="2"/>
  <c r="T179" i="2"/>
  <c r="T7" i="2"/>
  <c r="T201" i="2"/>
  <c r="T140" i="2"/>
  <c r="T80" i="2"/>
  <c r="T152" i="2"/>
  <c r="T180" i="2"/>
  <c r="T15" i="2"/>
  <c r="T143" i="2"/>
  <c r="T177" i="2"/>
  <c r="T77" i="2"/>
  <c r="T33" i="2"/>
  <c r="T79" i="2"/>
  <c r="T52" i="2"/>
  <c r="T81" i="2"/>
  <c r="T196" i="2"/>
  <c r="T161" i="2"/>
  <c r="T21" i="2"/>
  <c r="T192" i="2"/>
  <c r="T150" i="2"/>
  <c r="T14" i="2"/>
  <c r="T34" i="2"/>
  <c r="T29" i="2"/>
  <c r="T139" i="2"/>
  <c r="T163" i="2"/>
  <c r="T124" i="2"/>
  <c r="T82" i="2"/>
  <c r="T146" i="2"/>
  <c r="T53" i="2"/>
  <c r="T147" i="2"/>
  <c r="T71" i="2"/>
  <c r="T5" i="2"/>
  <c r="U170" i="2"/>
  <c r="U9" i="2"/>
  <c r="U2" i="2"/>
  <c r="U92" i="2"/>
  <c r="U153" i="2"/>
  <c r="U169" i="2"/>
  <c r="U126" i="2"/>
  <c r="U69" i="2"/>
  <c r="U35" i="2"/>
  <c r="U138" i="2"/>
  <c r="U99" i="2"/>
  <c r="U78" i="2"/>
  <c r="U96" i="2"/>
  <c r="U62" i="2"/>
  <c r="U141" i="2"/>
  <c r="U120" i="2"/>
  <c r="U3" i="2"/>
  <c r="U185" i="2"/>
  <c r="U91" i="2"/>
  <c r="U54" i="2"/>
  <c r="U142" i="2"/>
  <c r="U55" i="2"/>
  <c r="U39" i="2"/>
  <c r="U18" i="2"/>
  <c r="U113" i="2"/>
  <c r="U19" i="2"/>
  <c r="U65" i="2"/>
  <c r="U66" i="2"/>
  <c r="U137" i="2"/>
  <c r="U171" i="2"/>
  <c r="U155" i="2"/>
  <c r="U148" i="2"/>
  <c r="U186" i="2"/>
  <c r="U83" i="2"/>
  <c r="U189" i="2"/>
  <c r="U117" i="2"/>
  <c r="U115" i="2"/>
  <c r="U108" i="2"/>
  <c r="U73" i="2"/>
  <c r="U181" i="2"/>
  <c r="U37" i="2"/>
  <c r="U133" i="2"/>
  <c r="U30" i="2"/>
  <c r="U41" i="2"/>
  <c r="U20" i="2"/>
  <c r="U199" i="2"/>
  <c r="U156" i="2"/>
  <c r="U57" i="2"/>
  <c r="U164" i="2"/>
  <c r="U100" i="2"/>
  <c r="U6" i="2"/>
  <c r="U63" i="2"/>
  <c r="U84" i="2"/>
  <c r="U197" i="2"/>
  <c r="U4" i="2"/>
  <c r="U118" i="2"/>
  <c r="U87" i="2"/>
  <c r="U145" i="2"/>
  <c r="U175" i="2"/>
  <c r="U130" i="2"/>
  <c r="U61" i="2"/>
  <c r="U26" i="2"/>
  <c r="U16" i="2"/>
  <c r="U89" i="2"/>
  <c r="U38" i="2"/>
  <c r="U157" i="2"/>
  <c r="U49" i="2"/>
  <c r="U198" i="2"/>
  <c r="U70" i="2"/>
  <c r="U135" i="2"/>
  <c r="U187" i="2"/>
  <c r="U23" i="2"/>
  <c r="U183" i="2"/>
  <c r="U110" i="2"/>
  <c r="U121" i="2"/>
  <c r="U58" i="2"/>
  <c r="U128" i="2"/>
  <c r="U111" i="2"/>
  <c r="U86" i="2"/>
  <c r="U200" i="2"/>
  <c r="U122" i="2"/>
  <c r="U165" i="2"/>
  <c r="U166" i="2"/>
  <c r="U11" i="2"/>
  <c r="U47" i="2"/>
  <c r="U172" i="2"/>
  <c r="U173" i="2"/>
  <c r="U154" i="2"/>
  <c r="U60" i="2"/>
  <c r="U10" i="2"/>
  <c r="U45" i="2"/>
  <c r="U190" i="2"/>
  <c r="U188" i="2"/>
  <c r="U176" i="2"/>
  <c r="U134" i="2"/>
  <c r="U112" i="2"/>
  <c r="U27" i="2"/>
  <c r="U24" i="2"/>
  <c r="U144" i="2"/>
  <c r="U50" i="2"/>
  <c r="U67" i="2"/>
  <c r="U136" i="2"/>
  <c r="U193" i="2"/>
  <c r="U72" i="2"/>
  <c r="U178" i="2"/>
  <c r="U114" i="2"/>
  <c r="U97" i="2"/>
  <c r="U158" i="2"/>
  <c r="U28" i="2"/>
  <c r="U88" i="2"/>
  <c r="U98" i="2"/>
  <c r="U40" i="2"/>
  <c r="U56" i="2"/>
  <c r="U105" i="2"/>
  <c r="U116" i="2"/>
  <c r="U125" i="2"/>
  <c r="U48" i="2"/>
  <c r="U106" i="2"/>
  <c r="U90" i="2"/>
  <c r="U149" i="2"/>
  <c r="U167" i="2"/>
  <c r="U95" i="2"/>
  <c r="U85" i="2"/>
  <c r="U123" i="2"/>
  <c r="U168" i="2"/>
  <c r="U22" i="2"/>
  <c r="U31" i="2"/>
  <c r="U132" i="2"/>
  <c r="U184" i="2"/>
  <c r="U93" i="2"/>
  <c r="U191" i="2"/>
  <c r="U17" i="2"/>
  <c r="U119" i="2"/>
  <c r="U101" i="2"/>
  <c r="U129" i="2"/>
  <c r="U74" i="2"/>
  <c r="U36" i="2"/>
  <c r="U104" i="2"/>
  <c r="U182" i="2"/>
  <c r="U194" i="2"/>
  <c r="U12" i="2"/>
  <c r="U75" i="2"/>
  <c r="U102" i="2"/>
  <c r="U159" i="2"/>
  <c r="U46" i="2"/>
  <c r="U94" i="2"/>
  <c r="U103" i="2"/>
  <c r="U107" i="2"/>
  <c r="U68" i="2"/>
  <c r="U51" i="2"/>
  <c r="U42" i="2"/>
  <c r="U127" i="2"/>
  <c r="U109" i="2"/>
  <c r="U32" i="2"/>
  <c r="U59" i="2"/>
  <c r="U162" i="2"/>
  <c r="U174" i="2"/>
  <c r="U195" i="2"/>
  <c r="U160" i="2"/>
  <c r="U64" i="2"/>
  <c r="U43" i="2"/>
  <c r="U8" i="2"/>
  <c r="U76" i="2"/>
  <c r="U151" i="2"/>
  <c r="U25" i="2"/>
  <c r="U13" i="2"/>
  <c r="U44" i="2"/>
  <c r="U131" i="2"/>
  <c r="U179" i="2"/>
  <c r="U7" i="2"/>
  <c r="U201" i="2"/>
  <c r="U140" i="2"/>
  <c r="U80" i="2"/>
  <c r="U152" i="2"/>
  <c r="U180" i="2"/>
  <c r="U15" i="2"/>
  <c r="U143" i="2"/>
  <c r="U177" i="2"/>
  <c r="U77" i="2"/>
  <c r="U33" i="2"/>
  <c r="U79" i="2"/>
  <c r="U52" i="2"/>
  <c r="U81" i="2"/>
  <c r="U196" i="2"/>
  <c r="U161" i="2"/>
  <c r="U21" i="2"/>
  <c r="U192" i="2"/>
  <c r="U150" i="2"/>
  <c r="U14" i="2"/>
  <c r="U34" i="2"/>
  <c r="U29" i="2"/>
  <c r="U139" i="2"/>
  <c r="U163" i="2"/>
  <c r="U124" i="2"/>
  <c r="U82" i="2"/>
  <c r="U146" i="2"/>
  <c r="U53" i="2"/>
  <c r="U147" i="2"/>
  <c r="U71" i="2"/>
  <c r="U5" i="2"/>
  <c r="C15" i="3"/>
  <c r="C11" i="3"/>
  <c r="C10" i="3"/>
  <c r="C14" i="3"/>
  <c r="L31" i="3"/>
  <c r="L29" i="3"/>
  <c r="L28" i="3"/>
  <c r="L30" i="3"/>
  <c r="C12" i="3" l="1"/>
  <c r="C13" i="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63AB0A2-DCBE-4A89-B2BE-27F683E2606E}" keepAlive="1" name="Query - personal_finance_dashboard_data_200_rows" description="Connection to the 'personal_finance_dashboard_data_200_rows' query in the workbook." type="5" refreshedVersion="8" background="1" saveData="1">
    <dbPr connection="Provider=Microsoft.Mashup.OleDb.1;Data Source=$Workbook$;Location=personal_finance_dashboard_data_200_rows;Extended Properties=&quot;&quot;" command="SELECT * FROM [personal_finance_dashboard_data_200_rows]"/>
  </connection>
</connections>
</file>

<file path=xl/sharedStrings.xml><?xml version="1.0" encoding="utf-8"?>
<sst xmlns="http://schemas.openxmlformats.org/spreadsheetml/2006/main" count="2731" uniqueCount="352">
  <si>
    <t>Transaction ID</t>
  </si>
  <si>
    <t>Date</t>
  </si>
  <si>
    <t>Year</t>
  </si>
  <si>
    <t>Bank</t>
  </si>
  <si>
    <t>Transaction Type</t>
  </si>
  <si>
    <t>Category</t>
  </si>
  <si>
    <t>Sub Category</t>
  </si>
  <si>
    <t>Payment Method</t>
  </si>
  <si>
    <t>Merchant</t>
  </si>
  <si>
    <t>Description</t>
  </si>
  <si>
    <t>Amount</t>
  </si>
  <si>
    <t>Budget</t>
  </si>
  <si>
    <t>Savings</t>
  </si>
  <si>
    <t>Location</t>
  </si>
  <si>
    <t>Status</t>
  </si>
  <si>
    <t>Recurring</t>
  </si>
  <si>
    <t>Tax</t>
  </si>
  <si>
    <t>Balance</t>
  </si>
  <si>
    <t>TXN0001</t>
  </si>
  <si>
    <t>Axis</t>
  </si>
  <si>
    <t>Expense</t>
  </si>
  <si>
    <t>Healthcare</t>
  </si>
  <si>
    <t>Pharmacy</t>
  </si>
  <si>
    <t>Bank Transfer</t>
  </si>
  <si>
    <t>Apollo Pharmacy</t>
  </si>
  <si>
    <t>Mumbai</t>
  </si>
  <si>
    <t>Completed</t>
  </si>
  <si>
    <t>No</t>
  </si>
  <si>
    <t>TXN0002</t>
  </si>
  <si>
    <t>Income</t>
  </si>
  <si>
    <t>Salary</t>
  </si>
  <si>
    <t>Monthly Salary</t>
  </si>
  <si>
    <t>Cash</t>
  </si>
  <si>
    <t>Employer</t>
  </si>
  <si>
    <t>Monthly salary received</t>
  </si>
  <si>
    <t>Yes</t>
  </si>
  <si>
    <t>TXN0003</t>
  </si>
  <si>
    <t>HDFC</t>
  </si>
  <si>
    <t>Shopping</t>
  </si>
  <si>
    <t>Clothing</t>
  </si>
  <si>
    <t>Debit Card</t>
  </si>
  <si>
    <t>Ajio</t>
  </si>
  <si>
    <t>Chennai</t>
  </si>
  <si>
    <t>TXN0004</t>
  </si>
  <si>
    <t>ICICI</t>
  </si>
  <si>
    <t>Rent</t>
  </si>
  <si>
    <t>House Rent</t>
  </si>
  <si>
    <t>City Homes</t>
  </si>
  <si>
    <t>Delhi</t>
  </si>
  <si>
    <t>TXN0005</t>
  </si>
  <si>
    <t>Freelancing</t>
  </si>
  <si>
    <t>Project</t>
  </si>
  <si>
    <t>Net Banking</t>
  </si>
  <si>
    <t>Freelance Client</t>
  </si>
  <si>
    <t>Freelance project payment</t>
  </si>
  <si>
    <t>TXN0006</t>
  </si>
  <si>
    <t>Medical</t>
  </si>
  <si>
    <t>City Hospital</t>
  </si>
  <si>
    <t>Bengaluru</t>
  </si>
  <si>
    <t>TXN0007</t>
  </si>
  <si>
    <t>SBI</t>
  </si>
  <si>
    <t>Entertainment</t>
  </si>
  <si>
    <t>Movies</t>
  </si>
  <si>
    <t>INOX</t>
  </si>
  <si>
    <t>Hyderabad</t>
  </si>
  <si>
    <t>TXN0008</t>
  </si>
  <si>
    <t>Internet</t>
  </si>
  <si>
    <t>Broadband</t>
  </si>
  <si>
    <t>Credit Card</t>
  </si>
  <si>
    <t>Airtel</t>
  </si>
  <si>
    <t>TXN0009</t>
  </si>
  <si>
    <t>Supermarket</t>
  </si>
  <si>
    <t>DMart</t>
  </si>
  <si>
    <t>TXN0010</t>
  </si>
  <si>
    <t>Food</t>
  </si>
  <si>
    <t>Restaurant</t>
  </si>
  <si>
    <t>Indian Oil</t>
  </si>
  <si>
    <t>TXN0011</t>
  </si>
  <si>
    <t>TXN0012</t>
  </si>
  <si>
    <t>TXN0013</t>
  </si>
  <si>
    <t>TXN0014</t>
  </si>
  <si>
    <t>Groceries</t>
  </si>
  <si>
    <t>BigBasket</t>
  </si>
  <si>
    <t>TXN0015</t>
  </si>
  <si>
    <t>Electricity</t>
  </si>
  <si>
    <t>Bill</t>
  </si>
  <si>
    <t>Electricity Board</t>
  </si>
  <si>
    <t>TXN0016</t>
  </si>
  <si>
    <t>Dining</t>
  </si>
  <si>
    <t>Food Court</t>
  </si>
  <si>
    <t>TXN0017</t>
  </si>
  <si>
    <t>TXN0018</t>
  </si>
  <si>
    <t>Transport</t>
  </si>
  <si>
    <t>Cab</t>
  </si>
  <si>
    <t>Uber</t>
  </si>
  <si>
    <t>TXN0019</t>
  </si>
  <si>
    <t>ABC Properties</t>
  </si>
  <si>
    <t>Pune</t>
  </si>
  <si>
    <t>TXN0020</t>
  </si>
  <si>
    <t>TXN0021</t>
  </si>
  <si>
    <t>UPI</t>
  </si>
  <si>
    <t>TXN0022</t>
  </si>
  <si>
    <t>TXN0023</t>
  </si>
  <si>
    <t>TXN0024</t>
  </si>
  <si>
    <t>TXN0025</t>
  </si>
  <si>
    <t>TXN0026</t>
  </si>
  <si>
    <t>TXN0027</t>
  </si>
  <si>
    <t>Bonus</t>
  </si>
  <si>
    <t>Performance bonus</t>
  </si>
  <si>
    <t>TXN0028</t>
  </si>
  <si>
    <t>Fuel</t>
  </si>
  <si>
    <t>Petrol</t>
  </si>
  <si>
    <t>TXN0029</t>
  </si>
  <si>
    <t>TXN0030</t>
  </si>
  <si>
    <t>Streaming</t>
  </si>
  <si>
    <t>Netflix</t>
  </si>
  <si>
    <t>TXN0031</t>
  </si>
  <si>
    <t>TXN0032</t>
  </si>
  <si>
    <t>MedPlus</t>
  </si>
  <si>
    <t>TXN0033</t>
  </si>
  <si>
    <t>TXN0034</t>
  </si>
  <si>
    <t>TXN0035</t>
  </si>
  <si>
    <t>Interest</t>
  </si>
  <si>
    <t>ICICI Bank</t>
  </si>
  <si>
    <t>Bank interest received</t>
  </si>
  <si>
    <t>TXN0036</t>
  </si>
  <si>
    <t>TXN0037</t>
  </si>
  <si>
    <t>JioFiber</t>
  </si>
  <si>
    <t>TXN0038</t>
  </si>
  <si>
    <t>TXN0039</t>
  </si>
  <si>
    <t>Mobile</t>
  </si>
  <si>
    <t>Jio</t>
  </si>
  <si>
    <t>TXN0040</t>
  </si>
  <si>
    <t>TXN0041</t>
  </si>
  <si>
    <t>TXN0042</t>
  </si>
  <si>
    <t>ABC Pvt Ltd</t>
  </si>
  <si>
    <t>TXN0043</t>
  </si>
  <si>
    <t>Spotify</t>
  </si>
  <si>
    <t>TXN0044</t>
  </si>
  <si>
    <t>Care Clinic</t>
  </si>
  <si>
    <t>TXN0045</t>
  </si>
  <si>
    <t>TXN0046</t>
  </si>
  <si>
    <t>TXN0047</t>
  </si>
  <si>
    <t>TXN0048</t>
  </si>
  <si>
    <t>TXN0049</t>
  </si>
  <si>
    <t>TXN0050</t>
  </si>
  <si>
    <t>TXN0051</t>
  </si>
  <si>
    <t>Reliance Fresh</t>
  </si>
  <si>
    <t>TXN0052</t>
  </si>
  <si>
    <t>TXN0053</t>
  </si>
  <si>
    <t>TXN0054</t>
  </si>
  <si>
    <t>TXN0055</t>
  </si>
  <si>
    <t>TXN0056</t>
  </si>
  <si>
    <t>TXN0057</t>
  </si>
  <si>
    <t>HP Petrol</t>
  </si>
  <si>
    <t>TXN0058</t>
  </si>
  <si>
    <t>Local Restaurant</t>
  </si>
  <si>
    <t>TXN0059</t>
  </si>
  <si>
    <t>Cafe Coffee</t>
  </si>
  <si>
    <t>TXN0060</t>
  </si>
  <si>
    <t>TXN0061</t>
  </si>
  <si>
    <t>TXN0062</t>
  </si>
  <si>
    <t>TXN0063</t>
  </si>
  <si>
    <t>Ola</t>
  </si>
  <si>
    <t>TXN0064</t>
  </si>
  <si>
    <t>TXN0065</t>
  </si>
  <si>
    <t>Delivery</t>
  </si>
  <si>
    <t>Zomato</t>
  </si>
  <si>
    <t>TXN0066</t>
  </si>
  <si>
    <t>TXN0067</t>
  </si>
  <si>
    <t>TXN0068</t>
  </si>
  <si>
    <t>TXN0069</t>
  </si>
  <si>
    <t>TXN0070</t>
  </si>
  <si>
    <t>TXN0071</t>
  </si>
  <si>
    <t>TXN0072</t>
  </si>
  <si>
    <t>TXN0073</t>
  </si>
  <si>
    <t>TXN0074</t>
  </si>
  <si>
    <t>Metro</t>
  </si>
  <si>
    <t>Metro Rail</t>
  </si>
  <si>
    <t>TXN0075</t>
  </si>
  <si>
    <t>TXN0076</t>
  </si>
  <si>
    <t>TXN0077</t>
  </si>
  <si>
    <t>TXN0078</t>
  </si>
  <si>
    <t>TXN0079</t>
  </si>
  <si>
    <t>TXN0080</t>
  </si>
  <si>
    <t>TXN0081</t>
  </si>
  <si>
    <t>TXN0082</t>
  </si>
  <si>
    <t>TXN0083</t>
  </si>
  <si>
    <t>TXN0084</t>
  </si>
  <si>
    <t>TXN0085</t>
  </si>
  <si>
    <t>TXN0086</t>
  </si>
  <si>
    <t>TXN0087</t>
  </si>
  <si>
    <t>TXN0088</t>
  </si>
  <si>
    <t>TXN0089</t>
  </si>
  <si>
    <t>TXN0090</t>
  </si>
  <si>
    <t>TXN0091</t>
  </si>
  <si>
    <t>TXN0092</t>
  </si>
  <si>
    <t>TXN0093</t>
  </si>
  <si>
    <t>TXN0094</t>
  </si>
  <si>
    <t>TXN0095</t>
  </si>
  <si>
    <t>TXN0096</t>
  </si>
  <si>
    <t>Myntra</t>
  </si>
  <si>
    <t>TXN0097</t>
  </si>
  <si>
    <t>TXN0098</t>
  </si>
  <si>
    <t>TXN0099</t>
  </si>
  <si>
    <t>TXN0100</t>
  </si>
  <si>
    <t>TXN0101</t>
  </si>
  <si>
    <t>PVR</t>
  </si>
  <si>
    <t>TXN0102</t>
  </si>
  <si>
    <t>TXN0103</t>
  </si>
  <si>
    <t>TXN0104</t>
  </si>
  <si>
    <t>TXN0105</t>
  </si>
  <si>
    <t>TXN0106</t>
  </si>
  <si>
    <t>TXN0107</t>
  </si>
  <si>
    <t>HDFC Bank</t>
  </si>
  <si>
    <t>TXN0108</t>
  </si>
  <si>
    <t>TXN0109</t>
  </si>
  <si>
    <t>TXN0110</t>
  </si>
  <si>
    <t>TXN0111</t>
  </si>
  <si>
    <t>TXN0112</t>
  </si>
  <si>
    <t>TXN0113</t>
  </si>
  <si>
    <t>TXN0114</t>
  </si>
  <si>
    <t>TXN0115</t>
  </si>
  <si>
    <t>TXN0116</t>
  </si>
  <si>
    <t>TXN0117</t>
  </si>
  <si>
    <t>TXN0118</t>
  </si>
  <si>
    <t>TXN0119</t>
  </si>
  <si>
    <t>TXN0120</t>
  </si>
  <si>
    <t>TXN0121</t>
  </si>
  <si>
    <t>TXN0122</t>
  </si>
  <si>
    <t>TXN0123</t>
  </si>
  <si>
    <t>TXN0124</t>
  </si>
  <si>
    <t>TXN0125</t>
  </si>
  <si>
    <t>TXN0126</t>
  </si>
  <si>
    <t>TXN0127</t>
  </si>
  <si>
    <t>TXN0128</t>
  </si>
  <si>
    <t>Bharat Petroleum</t>
  </si>
  <si>
    <t>TXN0129</t>
  </si>
  <si>
    <t>TXN0130</t>
  </si>
  <si>
    <t>TXN0131</t>
  </si>
  <si>
    <t>TXN0132</t>
  </si>
  <si>
    <t>TXN0133</t>
  </si>
  <si>
    <t>TXN0134</t>
  </si>
  <si>
    <t>TXN0135</t>
  </si>
  <si>
    <t>TXN0136</t>
  </si>
  <si>
    <t>TXN0137</t>
  </si>
  <si>
    <t>TXN0138</t>
  </si>
  <si>
    <t>TXN0139</t>
  </si>
  <si>
    <t>TXN0140</t>
  </si>
  <si>
    <t>TXN0141</t>
  </si>
  <si>
    <t>TXN0142</t>
  </si>
  <si>
    <t>TXN0143</t>
  </si>
  <si>
    <t>TXN0144</t>
  </si>
  <si>
    <t>TXN0145</t>
  </si>
  <si>
    <t>TXN0146</t>
  </si>
  <si>
    <t>TXN0147</t>
  </si>
  <si>
    <t>TXN0148</t>
  </si>
  <si>
    <t>TXN0149</t>
  </si>
  <si>
    <t>TXN0150</t>
  </si>
  <si>
    <t>TXN0151</t>
  </si>
  <si>
    <t>Food Plaza</t>
  </si>
  <si>
    <t>TXN0152</t>
  </si>
  <si>
    <t>TXN0153</t>
  </si>
  <si>
    <t>Swiggy</t>
  </si>
  <si>
    <t>TXN0154</t>
  </si>
  <si>
    <t>TXN0155</t>
  </si>
  <si>
    <t>TXN0156</t>
  </si>
  <si>
    <t>TXN0157</t>
  </si>
  <si>
    <t>TXN0158</t>
  </si>
  <si>
    <t>TXN0159</t>
  </si>
  <si>
    <t>TXN0160</t>
  </si>
  <si>
    <t>TXN0161</t>
  </si>
  <si>
    <t>TXN0162</t>
  </si>
  <si>
    <t>TXN0163</t>
  </si>
  <si>
    <t>TXN0164</t>
  </si>
  <si>
    <t>TXN0165</t>
  </si>
  <si>
    <t>TXN0166</t>
  </si>
  <si>
    <t>TXN0167</t>
  </si>
  <si>
    <t>TXN0168</t>
  </si>
  <si>
    <t>TXN0169</t>
  </si>
  <si>
    <t>TXN0170</t>
  </si>
  <si>
    <t>TXN0171</t>
  </si>
  <si>
    <t>TXN0172</t>
  </si>
  <si>
    <t>TXN0173</t>
  </si>
  <si>
    <t>TXN0174</t>
  </si>
  <si>
    <t>TXN0175</t>
  </si>
  <si>
    <t>TXN0176</t>
  </si>
  <si>
    <t>TXN0177</t>
  </si>
  <si>
    <t>TXN0178</t>
  </si>
  <si>
    <t>TXN0179</t>
  </si>
  <si>
    <t>TXN0180</t>
  </si>
  <si>
    <t>TXN0181</t>
  </si>
  <si>
    <t>TXN0182</t>
  </si>
  <si>
    <t>TXN0183</t>
  </si>
  <si>
    <t>TXN0184</t>
  </si>
  <si>
    <t>Electronics</t>
  </si>
  <si>
    <t>Amazon</t>
  </si>
  <si>
    <t>TXN0185</t>
  </si>
  <si>
    <t>TXN0186</t>
  </si>
  <si>
    <t>TXN0187</t>
  </si>
  <si>
    <t>TXN0188</t>
  </si>
  <si>
    <t>TXN0189</t>
  </si>
  <si>
    <t>TXN0190</t>
  </si>
  <si>
    <t>TXN0191</t>
  </si>
  <si>
    <t>TXN0192</t>
  </si>
  <si>
    <t>TXN0193</t>
  </si>
  <si>
    <t>TXN0194</t>
  </si>
  <si>
    <t>TXN0195</t>
  </si>
  <si>
    <t>TXN0196</t>
  </si>
  <si>
    <t>TXN0197</t>
  </si>
  <si>
    <t>TXN0198</t>
  </si>
  <si>
    <t>TXN0199</t>
  </si>
  <si>
    <t>TXN0200</t>
  </si>
  <si>
    <t>Month</t>
  </si>
  <si>
    <t>Month no</t>
  </si>
  <si>
    <t>Quarter</t>
  </si>
  <si>
    <t>Row Labels</t>
  </si>
  <si>
    <t>Grand Total</t>
  </si>
  <si>
    <t>Sum of Amount</t>
  </si>
  <si>
    <t>Sum of Budget</t>
  </si>
  <si>
    <t>Count of Transaction ID</t>
  </si>
  <si>
    <t>KPI Header</t>
  </si>
  <si>
    <t>Values</t>
  </si>
  <si>
    <t>Total income</t>
  </si>
  <si>
    <t>total Expensess</t>
  </si>
  <si>
    <t>Net Savings</t>
  </si>
  <si>
    <t>Savings Rate</t>
  </si>
  <si>
    <t>Budget Utilization</t>
  </si>
  <si>
    <t>KPI Section</t>
  </si>
  <si>
    <t>Current Balance</t>
  </si>
  <si>
    <t>Monthly Income vs expenes</t>
  </si>
  <si>
    <t>Jan</t>
  </si>
  <si>
    <t>Feb</t>
  </si>
  <si>
    <t>Mar</t>
  </si>
  <si>
    <t>Apr</t>
  </si>
  <si>
    <t>May</t>
  </si>
  <si>
    <t>Jun</t>
  </si>
  <si>
    <t>Jul</t>
  </si>
  <si>
    <t>Column Labels</t>
  </si>
  <si>
    <t>Expenses by Category</t>
  </si>
  <si>
    <t>Savings Goal</t>
  </si>
  <si>
    <t>Saving Goal</t>
  </si>
  <si>
    <t>Emergency Fund</t>
  </si>
  <si>
    <t>Investment</t>
  </si>
  <si>
    <t>Car</t>
  </si>
  <si>
    <t>Vacation</t>
  </si>
  <si>
    <t>Savings Goal by Amount</t>
  </si>
  <si>
    <t>Transaction by bank Account</t>
  </si>
  <si>
    <t>Income by Category</t>
  </si>
  <si>
    <t>Spending by Oeyment Method</t>
  </si>
  <si>
    <t xml:space="preserve">Sum of Amount  Spent </t>
  </si>
  <si>
    <t>Sum of Budget Allocated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</si>
</sst>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gt;=1000000]0.0,,&quot;M&quot;;[&gt;=1000]0.0,&quot;K&quot;;0"/>
    <numFmt numFmtId="165" formatCode="[&gt;=1000000]&quot;$&quot;0.0,\ \,&quot;M&quot;;[&gt;=1000]&quot;$&quot;0.0,&quot;K&quot;;&quot;$&quot;0"/>
    <numFmt numFmtId="166" formatCode="&quot;$&quot;#,##0,&quot;K&quot;"/>
  </numFmts>
  <fonts count="5" x14ac:knownFonts="1">
    <font>
      <sz val="11"/>
      <color theme="1"/>
      <name val="Aptos Narrow"/>
      <family val="2"/>
      <scheme val="minor"/>
    </font>
    <font>
      <sz val="11"/>
      <color theme="1"/>
      <name val="Aptos Narrow"/>
      <family val="2"/>
      <scheme val="minor"/>
    </font>
    <font>
      <sz val="11"/>
      <name val="Aptos Narrow"/>
      <family val="2"/>
      <scheme val="minor"/>
    </font>
    <font>
      <b/>
      <sz val="12"/>
      <color theme="1"/>
      <name val="Aptos Narrow"/>
      <family val="2"/>
      <scheme val="minor"/>
    </font>
    <font>
      <b/>
      <sz val="11"/>
      <color theme="1"/>
      <name val="Aptos Narrow"/>
      <family val="2"/>
      <scheme val="minor"/>
    </font>
  </fonts>
  <fills count="5">
    <fill>
      <patternFill patternType="none"/>
    </fill>
    <fill>
      <patternFill patternType="gray125"/>
    </fill>
    <fill>
      <patternFill patternType="solid">
        <fgColor rgb="FFFFFF00"/>
        <bgColor indexed="64"/>
      </patternFill>
    </fill>
    <fill>
      <patternFill patternType="solid">
        <fgColor theme="3" tint="0.89999084444715716"/>
        <bgColor indexed="64"/>
      </patternFill>
    </fill>
    <fill>
      <patternFill patternType="solid">
        <fgColor theme="0" tint="-0.149998474074526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8">
    <xf numFmtId="0" fontId="0" fillId="0" borderId="0" xfId="0"/>
    <xf numFmtId="14" fontId="0" fillId="0" borderId="0" xfId="0" applyNumberFormat="1"/>
    <xf numFmtId="164" fontId="0" fillId="0" borderId="0" xfId="0" applyNumberFormat="1"/>
    <xf numFmtId="165" fontId="0" fillId="0" borderId="0" xfId="0" applyNumberFormat="1"/>
    <xf numFmtId="0" fontId="2" fillId="2" borderId="0" xfId="0" applyFont="1" applyFill="1"/>
    <xf numFmtId="0" fontId="0" fillId="0" borderId="0" xfId="0" pivotButton="1"/>
    <xf numFmtId="0" fontId="0" fillId="0" borderId="0" xfId="0" applyAlignment="1">
      <alignment horizontal="left"/>
    </xf>
    <xf numFmtId="0" fontId="0" fillId="0" borderId="1" xfId="0" applyBorder="1"/>
    <xf numFmtId="165" fontId="0" fillId="0" borderId="1" xfId="0" applyNumberFormat="1" applyBorder="1"/>
    <xf numFmtId="9" fontId="0" fillId="0" borderId="1" xfId="1" applyFont="1" applyBorder="1"/>
    <xf numFmtId="0" fontId="0" fillId="3" borderId="1" xfId="0" applyFill="1" applyBorder="1"/>
    <xf numFmtId="0" fontId="0" fillId="4" borderId="0" xfId="0" applyFill="1"/>
    <xf numFmtId="10" fontId="0" fillId="0" borderId="1" xfId="1" applyNumberFormat="1" applyFont="1" applyBorder="1"/>
    <xf numFmtId="0" fontId="0" fillId="0" borderId="1" xfId="0" applyBorder="1" applyAlignment="1">
      <alignment horizontal="left"/>
    </xf>
    <xf numFmtId="166" fontId="0" fillId="0" borderId="0" xfId="0" applyNumberFormat="1"/>
    <xf numFmtId="166" fontId="0" fillId="0" borderId="1" xfId="0" applyNumberFormat="1" applyBorder="1"/>
    <xf numFmtId="0" fontId="4" fillId="2" borderId="0" xfId="0" applyFont="1" applyFill="1" applyAlignment="1">
      <alignment horizontal="center"/>
    </xf>
    <xf numFmtId="0" fontId="3" fillId="2" borderId="0" xfId="0" applyFont="1" applyFill="1" applyAlignment="1">
      <alignment horizontal="center" vertical="center"/>
    </xf>
  </cellXfs>
  <cellStyles count="2">
    <cellStyle name="Normal" xfId="0" builtinId="0"/>
    <cellStyle name="Percent" xfId="1" builtinId="5"/>
  </cellStyles>
  <dxfs count="21">
    <dxf>
      <numFmt numFmtId="0" formatCode="General"/>
    </dxf>
    <dxf>
      <numFmt numFmtId="0" formatCode="General"/>
    </dxf>
    <dxf>
      <numFmt numFmtId="0" formatCode="General"/>
    </dxf>
    <dxf>
      <numFmt numFmtId="0" formatCode="General"/>
    </dxf>
    <dxf>
      <numFmt numFmtId="165" formatCode="[&gt;=1000000]&quot;$&quot;0.0,\ \,&quot;M&quot;;[&gt;=1000]&quot;$&quot;0.0,&quot;K&quot;;&quot;$&quot;0"/>
    </dxf>
    <dxf>
      <numFmt numFmtId="0" formatCode="General"/>
    </dxf>
    <dxf>
      <numFmt numFmtId="0" formatCode="General"/>
    </dxf>
    <dxf>
      <numFmt numFmtId="0" formatCode="General"/>
    </dxf>
    <dxf>
      <numFmt numFmtId="0" formatCode="General"/>
    </dxf>
    <dxf>
      <numFmt numFmtId="165" formatCode="[&gt;=1000000]&quot;$&quot;0.0,\ \,&quot;M&quot;;[&gt;=1000]&quot;$&quot;0.0,&quot;K&quot;;&quot;$&quot;0"/>
    </dxf>
    <dxf>
      <numFmt numFmtId="165" formatCode="[&gt;=1000000]&quot;$&quot;0.0,\ \,&quot;M&quot;;[&gt;=1000]&quot;$&quot;0.0,&quot;K&quot;;&quot;$&quot;0"/>
    </dxf>
    <dxf>
      <numFmt numFmtId="165" formatCode="[&gt;=1000000]&quot;$&quot;0.0,\ \,&quot;M&quot;;[&gt;=1000]&quot;$&quot;0.0,&quot;K&quot;;&quot;$&quot;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s>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[personal_finance_dashboard_data.xlsm]Pivot!PivotTable2</c:name>
    <c:fmtId val="7"/>
  </c:pivotSource>
  <c:chart>
    <c:title>
      <c:tx>
        <c:rich>
          <a:bodyPr rot="0" spcFirstLastPara="1" vertOverflow="ellipsis" vert="horz" wrap="square" anchor="ctr" anchorCtr="1"/>
          <a:lstStyle/>
          <a:p>
            <a:pPr>
              <a:defRPr sz="1800" b="1" i="0" u="none" strike="noStrike" kern="1200" spc="0" baseline="0">
                <a:solidFill>
                  <a:srgbClr val="002060"/>
                </a:solidFill>
                <a:latin typeface="+mn-lt"/>
                <a:ea typeface="+mn-ea"/>
                <a:cs typeface="+mn-cs"/>
              </a:defRPr>
            </a:pPr>
            <a:r>
              <a:rPr lang="en-US" sz="1800" b="1">
                <a:solidFill>
                  <a:srgbClr val="002060"/>
                </a:solidFill>
              </a:rPr>
              <a:t>Monthly</a:t>
            </a:r>
            <a:r>
              <a:rPr lang="en-US" sz="1800" b="1" baseline="0">
                <a:solidFill>
                  <a:srgbClr val="002060"/>
                </a:solidFill>
              </a:rPr>
              <a:t> Income vs Expenes</a:t>
            </a:r>
            <a:endParaRPr lang="en-US" sz="1800" b="1">
              <a:solidFill>
                <a:srgbClr val="002060"/>
              </a:solidFill>
            </a:endParaRPr>
          </a:p>
        </c:rich>
      </c:tx>
      <c:layout>
        <c:manualLayout>
          <c:xMode val="edge"/>
          <c:yMode val="edge"/>
          <c:x val="2.2178338350220629E-2"/>
          <c:y val="2.5179860869703141E-2"/>
        </c:manualLayout>
      </c:layout>
      <c:overlay val="0"/>
      <c:spPr>
        <a:noFill/>
        <a:ln>
          <a:noFill/>
        </a:ln>
        <a:effectLst/>
      </c:spPr>
      <c:txPr>
        <a:bodyPr rot="0" spcFirstLastPara="1" vertOverflow="ellipsis" vert="horz" wrap="square" anchor="ctr" anchorCtr="1"/>
        <a:lstStyle/>
        <a:p>
          <a:pPr>
            <a:defRPr sz="1800" b="1" i="0" u="none" strike="noStrike" kern="1200" spc="0" baseline="0">
              <a:solidFill>
                <a:srgbClr val="002060"/>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7"/>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b"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7"/>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t" anchorCtr="1">
              <a:spAutoFit/>
            </a:bodyPr>
            <a:lstStyle/>
            <a:p>
              <a:pPr>
                <a:defRPr sz="105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2"/>
            </a:solidFill>
            <a:round/>
          </a:ln>
          <a:effectLst/>
        </c:spPr>
        <c:marker>
          <c:symbol val="circle"/>
          <c:size val="7"/>
          <c:spPr>
            <a:solidFill>
              <a:schemeClr val="accent2"/>
            </a:solidFill>
            <a:ln w="9525">
              <a:solidFill>
                <a:schemeClr val="accent2"/>
              </a:solidFill>
            </a:ln>
            <a:effectLst/>
          </c:spPr>
        </c:marker>
        <c:dLbl>
          <c:idx val="0"/>
          <c:layout>
            <c:manualLayout>
              <c:x val="-7.4730885895334317E-2"/>
              <c:y val="-5.6145837708214061E-2"/>
            </c:manualLayout>
          </c:layout>
          <c:spPr>
            <a:noFill/>
            <a:ln>
              <a:noFill/>
            </a:ln>
            <a:effectLst/>
          </c:spPr>
          <c:txPr>
            <a:bodyPr rot="0" spcFirstLastPara="1" vertOverflow="ellipsis" vert="horz" wrap="square" lIns="38100" tIns="19050" rIns="38100" bIns="19050" anchor="t" anchorCtr="1">
              <a:spAutoFit/>
            </a:bodyPr>
            <a:lstStyle/>
            <a:p>
              <a:pPr>
                <a:defRPr sz="105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2"/>
            </a:solidFill>
            <a:round/>
          </a:ln>
          <a:effectLst/>
        </c:spPr>
        <c:marker>
          <c:symbol val="circle"/>
          <c:size val="7"/>
          <c:spPr>
            <a:solidFill>
              <a:schemeClr val="accent2"/>
            </a:solidFill>
            <a:ln w="9525">
              <a:solidFill>
                <a:schemeClr val="accent2"/>
              </a:solidFill>
            </a:ln>
            <a:effectLst/>
          </c:spPr>
        </c:marker>
        <c:dLbl>
          <c:idx val="0"/>
          <c:layout>
            <c:manualLayout>
              <c:x val="-4.9820590596889633E-2"/>
              <c:y val="-6.8177088645688541E-2"/>
            </c:manualLayout>
          </c:layout>
          <c:spPr>
            <a:noFill/>
            <a:ln>
              <a:noFill/>
            </a:ln>
            <a:effectLst/>
          </c:spPr>
          <c:txPr>
            <a:bodyPr rot="0" spcFirstLastPara="1" vertOverflow="ellipsis" vert="horz" wrap="square" lIns="38100" tIns="19050" rIns="38100" bIns="19050" anchor="t" anchorCtr="1">
              <a:spAutoFit/>
            </a:bodyPr>
            <a:lstStyle/>
            <a:p>
              <a:pPr>
                <a:defRPr sz="105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circle"/>
          <c:size val="7"/>
          <c:spPr>
            <a:solidFill>
              <a:schemeClr val="accent1"/>
            </a:solidFill>
            <a:ln w="9525">
              <a:solidFill>
                <a:schemeClr val="accent1"/>
              </a:solidFill>
            </a:ln>
            <a:effectLst/>
          </c:spPr>
        </c:marker>
        <c:dLbl>
          <c:idx val="0"/>
          <c:layout>
            <c:manualLayout>
              <c:x val="1.1322861499293079E-2"/>
              <c:y val="2.4062501874948884E-2"/>
            </c:manualLayout>
          </c:layout>
          <c:spPr>
            <a:noFill/>
            <a:ln>
              <a:noFill/>
            </a:ln>
            <a:effectLst/>
          </c:spPr>
          <c:txPr>
            <a:bodyPr rot="0" spcFirstLastPara="1" vertOverflow="ellipsis" vert="horz" wrap="square" lIns="38100" tIns="19050" rIns="38100" bIns="19050" anchor="b"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circle"/>
          <c:size val="7"/>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b"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circle"/>
          <c:size val="7"/>
          <c:spPr>
            <a:solidFill>
              <a:schemeClr val="accent1"/>
            </a:solidFill>
            <a:ln w="9525">
              <a:solidFill>
                <a:schemeClr val="accent1"/>
              </a:solidFill>
            </a:ln>
            <a:effectLst/>
          </c:spPr>
        </c:marker>
        <c:dLbl>
          <c:idx val="0"/>
          <c:layout>
            <c:manualLayout>
              <c:x val="1.1322861499293079E-2"/>
              <c:y val="2.4062501874948884E-2"/>
            </c:manualLayout>
          </c:layout>
          <c:spPr>
            <a:noFill/>
            <a:ln>
              <a:noFill/>
            </a:ln>
            <a:effectLst/>
          </c:spPr>
          <c:txPr>
            <a:bodyPr rot="0" spcFirstLastPara="1" vertOverflow="ellipsis" vert="horz" wrap="square" lIns="38100" tIns="19050" rIns="38100" bIns="19050" anchor="b"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circle"/>
          <c:size val="7"/>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t" anchorCtr="1">
              <a:spAutoFit/>
            </a:bodyPr>
            <a:lstStyle/>
            <a:p>
              <a:pPr>
                <a:defRPr sz="105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2"/>
            </a:solidFill>
            <a:round/>
          </a:ln>
          <a:effectLst/>
        </c:spPr>
        <c:marker>
          <c:symbol val="circle"/>
          <c:size val="7"/>
          <c:spPr>
            <a:solidFill>
              <a:schemeClr val="accent2"/>
            </a:solidFill>
            <a:ln w="9525">
              <a:solidFill>
                <a:schemeClr val="accent2"/>
              </a:solidFill>
            </a:ln>
            <a:effectLst/>
          </c:spPr>
        </c:marker>
        <c:dLbl>
          <c:idx val="0"/>
          <c:layout>
            <c:manualLayout>
              <c:x val="-7.4730885895334317E-2"/>
              <c:y val="-5.6145837708214061E-2"/>
            </c:manualLayout>
          </c:layout>
          <c:spPr>
            <a:noFill/>
            <a:ln>
              <a:noFill/>
            </a:ln>
            <a:effectLst/>
          </c:spPr>
          <c:txPr>
            <a:bodyPr rot="0" spcFirstLastPara="1" vertOverflow="ellipsis" vert="horz" wrap="square" lIns="38100" tIns="19050" rIns="38100" bIns="19050" anchor="t" anchorCtr="1">
              <a:spAutoFit/>
            </a:bodyPr>
            <a:lstStyle/>
            <a:p>
              <a:pPr>
                <a:defRPr sz="105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2"/>
            </a:solidFill>
            <a:round/>
          </a:ln>
          <a:effectLst/>
        </c:spPr>
        <c:marker>
          <c:symbol val="circle"/>
          <c:size val="7"/>
          <c:spPr>
            <a:solidFill>
              <a:schemeClr val="accent2"/>
            </a:solidFill>
            <a:ln w="9525">
              <a:solidFill>
                <a:schemeClr val="accent2"/>
              </a:solidFill>
            </a:ln>
            <a:effectLst/>
          </c:spPr>
        </c:marker>
        <c:dLbl>
          <c:idx val="0"/>
          <c:layout>
            <c:manualLayout>
              <c:x val="-4.9820590596889633E-2"/>
              <c:y val="-6.8177088645688541E-2"/>
            </c:manualLayout>
          </c:layout>
          <c:spPr>
            <a:noFill/>
            <a:ln>
              <a:noFill/>
            </a:ln>
            <a:effectLst/>
          </c:spPr>
          <c:txPr>
            <a:bodyPr rot="0" spcFirstLastPara="1" vertOverflow="ellipsis" vert="horz" wrap="square" lIns="38100" tIns="19050" rIns="38100" bIns="19050" anchor="t" anchorCtr="1">
              <a:spAutoFit/>
            </a:bodyPr>
            <a:lstStyle/>
            <a:p>
              <a:pPr>
                <a:defRPr sz="105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circle"/>
          <c:size val="7"/>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b"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circle"/>
          <c:size val="7"/>
          <c:spPr>
            <a:solidFill>
              <a:schemeClr val="accent1"/>
            </a:solidFill>
            <a:ln w="9525">
              <a:solidFill>
                <a:schemeClr val="accent1"/>
              </a:solidFill>
            </a:ln>
            <a:effectLst/>
          </c:spPr>
        </c:marker>
        <c:dLbl>
          <c:idx val="0"/>
          <c:layout>
            <c:manualLayout>
              <c:x val="1.1322861499293079E-2"/>
              <c:y val="2.4062501874948884E-2"/>
            </c:manualLayout>
          </c:layout>
          <c:spPr>
            <a:noFill/>
            <a:ln>
              <a:noFill/>
            </a:ln>
            <a:effectLst/>
          </c:spPr>
          <c:txPr>
            <a:bodyPr rot="0" spcFirstLastPara="1" vertOverflow="ellipsis" vert="horz" wrap="square" lIns="38100" tIns="19050" rIns="38100" bIns="19050" anchor="b"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circle"/>
          <c:size val="7"/>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t" anchorCtr="1">
              <a:spAutoFit/>
            </a:bodyPr>
            <a:lstStyle/>
            <a:p>
              <a:pPr>
                <a:defRPr sz="105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9"/>
        <c:spPr>
          <a:ln w="28575" cap="rnd">
            <a:solidFill>
              <a:schemeClr val="accent2"/>
            </a:solidFill>
            <a:round/>
          </a:ln>
          <a:effectLst/>
        </c:spPr>
        <c:marker>
          <c:symbol val="circle"/>
          <c:size val="7"/>
          <c:spPr>
            <a:solidFill>
              <a:schemeClr val="accent2"/>
            </a:solidFill>
            <a:ln w="9525">
              <a:solidFill>
                <a:schemeClr val="accent2"/>
              </a:solidFill>
            </a:ln>
            <a:effectLst/>
          </c:spPr>
        </c:marker>
        <c:dLbl>
          <c:idx val="0"/>
          <c:layout>
            <c:manualLayout>
              <c:x val="-7.4730885895334317E-2"/>
              <c:y val="-5.6145837708214061E-2"/>
            </c:manualLayout>
          </c:layout>
          <c:spPr>
            <a:noFill/>
            <a:ln>
              <a:noFill/>
            </a:ln>
            <a:effectLst/>
          </c:spPr>
          <c:txPr>
            <a:bodyPr rot="0" spcFirstLastPara="1" vertOverflow="ellipsis" vert="horz" wrap="square" lIns="38100" tIns="19050" rIns="38100" bIns="19050" anchor="t" anchorCtr="1">
              <a:spAutoFit/>
            </a:bodyPr>
            <a:lstStyle/>
            <a:p>
              <a:pPr>
                <a:defRPr sz="105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0"/>
        <c:spPr>
          <a:ln w="28575" cap="rnd">
            <a:solidFill>
              <a:schemeClr val="accent2"/>
            </a:solidFill>
            <a:round/>
          </a:ln>
          <a:effectLst/>
        </c:spPr>
        <c:marker>
          <c:symbol val="circle"/>
          <c:size val="7"/>
          <c:spPr>
            <a:solidFill>
              <a:schemeClr val="accent2"/>
            </a:solidFill>
            <a:ln w="9525">
              <a:solidFill>
                <a:schemeClr val="accent2"/>
              </a:solidFill>
            </a:ln>
            <a:effectLst/>
          </c:spPr>
        </c:marker>
        <c:dLbl>
          <c:idx val="0"/>
          <c:layout>
            <c:manualLayout>
              <c:x val="-4.9820590596889633E-2"/>
              <c:y val="-6.8177088645688541E-2"/>
            </c:manualLayout>
          </c:layout>
          <c:spPr>
            <a:noFill/>
            <a:ln>
              <a:noFill/>
            </a:ln>
            <a:effectLst/>
          </c:spPr>
          <c:txPr>
            <a:bodyPr rot="0" spcFirstLastPara="1" vertOverflow="ellipsis" vert="horz" wrap="square" lIns="38100" tIns="19050" rIns="38100" bIns="19050" anchor="t" anchorCtr="1">
              <a:spAutoFit/>
            </a:bodyPr>
            <a:lstStyle/>
            <a:p>
              <a:pPr>
                <a:defRPr sz="105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012823408610271"/>
          <c:y val="0.15565350660954824"/>
          <c:w val="0.85498246921746857"/>
          <c:h val="0.74732736594863314"/>
        </c:manualLayout>
      </c:layout>
      <c:lineChart>
        <c:grouping val="standard"/>
        <c:varyColors val="0"/>
        <c:ser>
          <c:idx val="0"/>
          <c:order val="0"/>
          <c:tx>
            <c:strRef>
              <c:f>Pivot!$H$4:$H$5</c:f>
              <c:strCache>
                <c:ptCount val="1"/>
                <c:pt idx="0">
                  <c:v>Expense</c:v>
                </c:pt>
              </c:strCache>
            </c:strRef>
          </c:tx>
          <c:spPr>
            <a:ln w="28575" cap="rnd">
              <a:solidFill>
                <a:schemeClr val="accent1"/>
              </a:solidFill>
              <a:round/>
            </a:ln>
            <a:effectLst/>
          </c:spPr>
          <c:marker>
            <c:symbol val="circle"/>
            <c:size val="7"/>
            <c:spPr>
              <a:solidFill>
                <a:schemeClr val="accent1"/>
              </a:solidFill>
              <a:ln w="9525">
                <a:solidFill>
                  <a:schemeClr val="accent1"/>
                </a:solidFill>
              </a:ln>
              <a:effectLst/>
            </c:spPr>
          </c:marker>
          <c:dPt>
            <c:idx val="5"/>
            <c:marker>
              <c:symbol val="circle"/>
              <c:size val="7"/>
              <c:spPr>
                <a:solidFill>
                  <a:schemeClr val="accent1"/>
                </a:solidFill>
                <a:ln w="9525">
                  <a:solidFill>
                    <a:schemeClr val="accent1"/>
                  </a:solidFill>
                </a:ln>
                <a:effectLst/>
              </c:spPr>
            </c:marker>
            <c:bubble3D val="0"/>
            <c:extLst>
              <c:ext xmlns:c16="http://schemas.microsoft.com/office/drawing/2014/chart" uri="{C3380CC4-5D6E-409C-BE32-E72D297353CC}">
                <c16:uniqueId val="{00000000-18C2-4A8B-B633-5051366ECD72}"/>
              </c:ext>
            </c:extLst>
          </c:dPt>
          <c:dLbls>
            <c:dLbl>
              <c:idx val="5"/>
              <c:layout>
                <c:manualLayout>
                  <c:x val="1.1322861499293079E-2"/>
                  <c:y val="2.406250187494888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18C2-4A8B-B633-5051366ECD72}"/>
                </c:ext>
              </c:extLst>
            </c:dLbl>
            <c:spPr>
              <a:noFill/>
              <a:ln>
                <a:noFill/>
              </a:ln>
              <a:effectLst/>
            </c:spPr>
            <c:txPr>
              <a:bodyPr rot="0" spcFirstLastPara="1" vertOverflow="ellipsis" vert="horz" wrap="square" lIns="38100" tIns="19050" rIns="38100" bIns="19050" anchor="b"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Pivot!$G$6:$G$13</c:f>
              <c:strCache>
                <c:ptCount val="7"/>
                <c:pt idx="0">
                  <c:v>Jan</c:v>
                </c:pt>
                <c:pt idx="1">
                  <c:v>Feb</c:v>
                </c:pt>
                <c:pt idx="2">
                  <c:v>Mar</c:v>
                </c:pt>
                <c:pt idx="3">
                  <c:v>Apr</c:v>
                </c:pt>
                <c:pt idx="4">
                  <c:v>May</c:v>
                </c:pt>
                <c:pt idx="5">
                  <c:v>Jun</c:v>
                </c:pt>
                <c:pt idx="6">
                  <c:v>Jul</c:v>
                </c:pt>
              </c:strCache>
            </c:strRef>
          </c:cat>
          <c:val>
            <c:numRef>
              <c:f>Pivot!$H$6:$H$13</c:f>
              <c:numCache>
                <c:formatCode>[&gt;=1000000]"$"0.0,\ \,"M";[&gt;=1000]"$"0.0,"K";"$"0</c:formatCode>
                <c:ptCount val="7"/>
                <c:pt idx="0">
                  <c:v>168055</c:v>
                </c:pt>
                <c:pt idx="1">
                  <c:v>264242</c:v>
                </c:pt>
                <c:pt idx="2">
                  <c:v>215737</c:v>
                </c:pt>
                <c:pt idx="3">
                  <c:v>306245</c:v>
                </c:pt>
                <c:pt idx="4">
                  <c:v>251732</c:v>
                </c:pt>
                <c:pt idx="5">
                  <c:v>333647</c:v>
                </c:pt>
                <c:pt idx="6">
                  <c:v>15837</c:v>
                </c:pt>
              </c:numCache>
            </c:numRef>
          </c:val>
          <c:smooth val="0"/>
          <c:extLst>
            <c:ext xmlns:c16="http://schemas.microsoft.com/office/drawing/2014/chart" uri="{C3380CC4-5D6E-409C-BE32-E72D297353CC}">
              <c16:uniqueId val="{00000003-FF52-4D0C-89DF-903E547839D6}"/>
            </c:ext>
          </c:extLst>
        </c:ser>
        <c:ser>
          <c:idx val="1"/>
          <c:order val="1"/>
          <c:tx>
            <c:strRef>
              <c:f>Pivot!$I$4:$I$5</c:f>
              <c:strCache>
                <c:ptCount val="1"/>
                <c:pt idx="0">
                  <c:v>Income</c:v>
                </c:pt>
              </c:strCache>
            </c:strRef>
          </c:tx>
          <c:spPr>
            <a:ln w="28575" cap="rnd">
              <a:solidFill>
                <a:schemeClr val="accent2"/>
              </a:solidFill>
              <a:round/>
            </a:ln>
            <a:effectLst/>
          </c:spPr>
          <c:marker>
            <c:symbol val="circle"/>
            <c:size val="7"/>
            <c:spPr>
              <a:solidFill>
                <a:schemeClr val="accent2"/>
              </a:solidFill>
              <a:ln w="9525">
                <a:solidFill>
                  <a:schemeClr val="accent2"/>
                </a:solidFill>
              </a:ln>
              <a:effectLst/>
            </c:spPr>
          </c:marker>
          <c:dPt>
            <c:idx val="1"/>
            <c:marker>
              <c:symbol val="circle"/>
              <c:size val="7"/>
              <c:spPr>
                <a:solidFill>
                  <a:schemeClr val="accent2"/>
                </a:solidFill>
                <a:ln w="9525">
                  <a:solidFill>
                    <a:schemeClr val="accent2"/>
                  </a:solidFill>
                </a:ln>
                <a:effectLst/>
              </c:spPr>
            </c:marker>
            <c:bubble3D val="0"/>
            <c:spPr>
              <a:ln w="28575" cap="rnd">
                <a:solidFill>
                  <a:schemeClr val="accent2"/>
                </a:solidFill>
                <a:round/>
              </a:ln>
              <a:effectLst/>
            </c:spPr>
            <c:extLst>
              <c:ext xmlns:c16="http://schemas.microsoft.com/office/drawing/2014/chart" uri="{C3380CC4-5D6E-409C-BE32-E72D297353CC}">
                <c16:uniqueId val="{00000002-F09B-4C32-A212-7BCB71834952}"/>
              </c:ext>
            </c:extLst>
          </c:dPt>
          <c:dPt>
            <c:idx val="5"/>
            <c:marker>
              <c:symbol val="circle"/>
              <c:size val="7"/>
              <c:spPr>
                <a:solidFill>
                  <a:schemeClr val="accent2"/>
                </a:solidFill>
                <a:ln w="9525">
                  <a:solidFill>
                    <a:schemeClr val="accent2"/>
                  </a:solidFill>
                </a:ln>
                <a:effectLst/>
              </c:spPr>
            </c:marker>
            <c:bubble3D val="0"/>
            <c:spPr>
              <a:ln w="28575" cap="rnd">
                <a:solidFill>
                  <a:schemeClr val="accent2"/>
                </a:solidFill>
                <a:round/>
              </a:ln>
              <a:effectLst/>
            </c:spPr>
            <c:extLst>
              <c:ext xmlns:c16="http://schemas.microsoft.com/office/drawing/2014/chart" uri="{C3380CC4-5D6E-409C-BE32-E72D297353CC}">
                <c16:uniqueId val="{00000004-F09B-4C32-A212-7BCB71834952}"/>
              </c:ext>
            </c:extLst>
          </c:dPt>
          <c:dLbls>
            <c:dLbl>
              <c:idx val="1"/>
              <c:layout>
                <c:manualLayout>
                  <c:x val="-7.4730885895334317E-2"/>
                  <c:y val="-5.614583770821406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F09B-4C32-A212-7BCB71834952}"/>
                </c:ext>
              </c:extLst>
            </c:dLbl>
            <c:dLbl>
              <c:idx val="5"/>
              <c:layout>
                <c:manualLayout>
                  <c:x val="-4.9820590596889633E-2"/>
                  <c:y val="-6.817708864568854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F09B-4C32-A212-7BCB71834952}"/>
                </c:ext>
              </c:extLst>
            </c:dLbl>
            <c:spPr>
              <a:noFill/>
              <a:ln>
                <a:noFill/>
              </a:ln>
              <a:effectLst/>
            </c:spPr>
            <c:txPr>
              <a:bodyPr rot="0" spcFirstLastPara="1" vertOverflow="ellipsis" vert="horz" wrap="square" lIns="38100" tIns="19050" rIns="38100" bIns="19050" anchor="t" anchorCtr="1">
                <a:spAutoFit/>
              </a:bodyPr>
              <a:lstStyle/>
              <a:p>
                <a:pPr>
                  <a:defRPr sz="105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Pivot!$G$6:$G$13</c:f>
              <c:strCache>
                <c:ptCount val="7"/>
                <c:pt idx="0">
                  <c:v>Jan</c:v>
                </c:pt>
                <c:pt idx="1">
                  <c:v>Feb</c:v>
                </c:pt>
                <c:pt idx="2">
                  <c:v>Mar</c:v>
                </c:pt>
                <c:pt idx="3">
                  <c:v>Apr</c:v>
                </c:pt>
                <c:pt idx="4">
                  <c:v>May</c:v>
                </c:pt>
                <c:pt idx="5">
                  <c:v>Jun</c:v>
                </c:pt>
                <c:pt idx="6">
                  <c:v>Jul</c:v>
                </c:pt>
              </c:strCache>
            </c:strRef>
          </c:cat>
          <c:val>
            <c:numRef>
              <c:f>Pivot!$I$6:$I$13</c:f>
              <c:numCache>
                <c:formatCode>[&gt;=1000000]"$"0.0,\ \,"M";[&gt;=1000]"$"0.0,"K";"$"0</c:formatCode>
                <c:ptCount val="7"/>
                <c:pt idx="0">
                  <c:v>112300</c:v>
                </c:pt>
                <c:pt idx="1">
                  <c:v>335000</c:v>
                </c:pt>
                <c:pt idx="2">
                  <c:v>355000</c:v>
                </c:pt>
                <c:pt idx="3">
                  <c:v>186700</c:v>
                </c:pt>
                <c:pt idx="4">
                  <c:v>150000</c:v>
                </c:pt>
                <c:pt idx="5">
                  <c:v>351200</c:v>
                </c:pt>
                <c:pt idx="6">
                  <c:v>60000</c:v>
                </c:pt>
              </c:numCache>
            </c:numRef>
          </c:val>
          <c:smooth val="0"/>
          <c:extLst>
            <c:ext xmlns:c16="http://schemas.microsoft.com/office/drawing/2014/chart" uri="{C3380CC4-5D6E-409C-BE32-E72D297353CC}">
              <c16:uniqueId val="{00000007-1881-422D-BDA6-2FD8C8E8FA13}"/>
            </c:ext>
          </c:extLst>
        </c:ser>
        <c:dLbls>
          <c:dLblPos val="r"/>
          <c:showLegendKey val="0"/>
          <c:showVal val="1"/>
          <c:showCatName val="0"/>
          <c:showSerName val="0"/>
          <c:showPercent val="0"/>
          <c:showBubbleSize val="0"/>
        </c:dLbls>
        <c:marker val="1"/>
        <c:smooth val="0"/>
        <c:axId val="1041210984"/>
        <c:axId val="1041209544"/>
      </c:lineChart>
      <c:catAx>
        <c:axId val="1041210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1041209544"/>
        <c:crosses val="autoZero"/>
        <c:auto val="1"/>
        <c:lblAlgn val="ctr"/>
        <c:lblOffset val="100"/>
        <c:noMultiLvlLbl val="0"/>
      </c:catAx>
      <c:valAx>
        <c:axId val="1041209544"/>
        <c:scaling>
          <c:orientation val="minMax"/>
        </c:scaling>
        <c:delete val="0"/>
        <c:axPos val="l"/>
        <c:majorGridlines>
          <c:spPr>
            <a:ln w="9525" cap="flat" cmpd="sng" algn="ctr">
              <a:solidFill>
                <a:schemeClr val="tx1">
                  <a:lumMod val="15000"/>
                  <a:lumOff val="85000"/>
                </a:schemeClr>
              </a:solidFill>
              <a:round/>
            </a:ln>
            <a:effectLst/>
          </c:spPr>
        </c:majorGridlines>
        <c:numFmt formatCode="[&gt;=1000000]&quot;$&quot;0.0,\ \,&quot;M&quot;;[&gt;=1000]&quot;$&quot;0.0,&quot;K&quot;;&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1210984"/>
        <c:crosses val="autoZero"/>
        <c:crossBetween val="between"/>
      </c:valAx>
      <c:spPr>
        <a:noFill/>
        <a:ln>
          <a:noFill/>
        </a:ln>
        <a:effectLst/>
      </c:spPr>
    </c:plotArea>
    <c:legend>
      <c:legendPos val="r"/>
      <c:layout>
        <c:manualLayout>
          <c:xMode val="edge"/>
          <c:yMode val="edge"/>
          <c:x val="0.61239753479500547"/>
          <c:y val="3.0688698934779528E-2"/>
          <c:w val="0.16238406460069904"/>
          <c:h val="0.16272528433945757"/>
        </c:manualLayout>
      </c:layout>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[personal_finance_dashboard_data.xlsm]Pivot!PivotTable3</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b="1">
                <a:solidFill>
                  <a:srgbClr val="002060"/>
                </a:solidFill>
              </a:rPr>
              <a:t>Expenses</a:t>
            </a:r>
            <a:r>
              <a:rPr lang="en-US" sz="2000" b="1" baseline="0">
                <a:solidFill>
                  <a:srgbClr val="002060"/>
                </a:solidFill>
              </a:rPr>
              <a:t> by Catogory</a:t>
            </a:r>
            <a:endParaRPr lang="en-US" b="1">
              <a:solidFill>
                <a:srgbClr val="002060"/>
              </a:solidFill>
            </a:endParaRPr>
          </a:p>
        </c:rich>
      </c:tx>
      <c:layout>
        <c:manualLayout>
          <c:xMode val="edge"/>
          <c:yMode val="edge"/>
          <c:x val="3.1517109889565693E-2"/>
          <c:y val="1.54525419887847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pivotFmt>
      <c:pivotFmt>
        <c:idx val="29"/>
        <c:spPr>
          <a:solidFill>
            <a:schemeClr val="accent1"/>
          </a:solidFill>
          <a:ln w="19050">
            <a:solidFill>
              <a:schemeClr val="lt1"/>
            </a:solidFill>
          </a:ln>
          <a:effectLst/>
        </c:spPr>
      </c:pivotFmt>
      <c:pivotFmt>
        <c:idx val="30"/>
        <c:spPr>
          <a:solidFill>
            <a:schemeClr val="accent1"/>
          </a:solidFill>
          <a:ln w="19050">
            <a:solidFill>
              <a:schemeClr val="lt1"/>
            </a:solidFill>
          </a:ln>
          <a:effectLst/>
        </c:spPr>
      </c:pivotFmt>
      <c:pivotFmt>
        <c:idx val="3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w="19050">
            <a:solidFill>
              <a:schemeClr val="lt1"/>
            </a:solidFill>
          </a:ln>
          <a:effectLst/>
        </c:spPr>
      </c:pivotFmt>
      <c:pivotFmt>
        <c:idx val="33"/>
        <c:spPr>
          <a:solidFill>
            <a:schemeClr val="accent1"/>
          </a:solidFill>
          <a:ln w="19050">
            <a:solidFill>
              <a:schemeClr val="lt1"/>
            </a:solidFill>
          </a:ln>
          <a:effectLst/>
        </c:spPr>
      </c:pivotFmt>
      <c:pivotFmt>
        <c:idx val="34"/>
        <c:spPr>
          <a:solidFill>
            <a:schemeClr val="accent1"/>
          </a:solidFill>
          <a:ln w="19050">
            <a:solidFill>
              <a:schemeClr val="lt1"/>
            </a:solidFill>
          </a:ln>
          <a:effectLst/>
        </c:spPr>
      </c:pivotFmt>
      <c:pivotFmt>
        <c:idx val="35"/>
        <c:spPr>
          <a:solidFill>
            <a:schemeClr val="accent1"/>
          </a:solidFill>
          <a:ln w="19050">
            <a:solidFill>
              <a:schemeClr val="lt1"/>
            </a:solidFill>
          </a:ln>
          <a:effectLst/>
        </c:spPr>
      </c:pivotFmt>
      <c:pivotFmt>
        <c:idx val="36"/>
        <c:spPr>
          <a:solidFill>
            <a:schemeClr val="accent1"/>
          </a:solidFill>
          <a:ln w="19050">
            <a:solidFill>
              <a:schemeClr val="lt1"/>
            </a:solidFill>
          </a:ln>
          <a:effectLst/>
        </c:spPr>
      </c:pivotFmt>
      <c:pivotFmt>
        <c:idx val="37"/>
        <c:spPr>
          <a:solidFill>
            <a:schemeClr val="accent1"/>
          </a:solidFill>
          <a:ln w="19050">
            <a:solidFill>
              <a:schemeClr val="lt1"/>
            </a:solidFill>
          </a:ln>
          <a:effectLst/>
        </c:spPr>
      </c:pivotFmt>
      <c:pivotFmt>
        <c:idx val="38"/>
        <c:spPr>
          <a:solidFill>
            <a:schemeClr val="accent1"/>
          </a:solidFill>
          <a:ln w="19050">
            <a:solidFill>
              <a:schemeClr val="lt1"/>
            </a:solidFill>
          </a:ln>
          <a:effectLst/>
        </c:spPr>
      </c:pivotFmt>
      <c:pivotFmt>
        <c:idx val="39"/>
        <c:spPr>
          <a:solidFill>
            <a:schemeClr val="accent1"/>
          </a:solidFill>
          <a:ln w="19050">
            <a:solidFill>
              <a:schemeClr val="lt1"/>
            </a:solidFill>
          </a:ln>
          <a:effectLst/>
        </c:spPr>
      </c:pivotFmt>
      <c:pivotFmt>
        <c:idx val="40"/>
        <c:spPr>
          <a:solidFill>
            <a:schemeClr val="accent1"/>
          </a:solidFill>
          <a:ln w="19050">
            <a:solidFill>
              <a:schemeClr val="lt1"/>
            </a:solidFill>
          </a:ln>
          <a:effectLst/>
        </c:spPr>
      </c:pivotFmt>
    </c:pivotFmts>
    <c:plotArea>
      <c:layout>
        <c:manualLayout>
          <c:layoutTarget val="inner"/>
          <c:xMode val="edge"/>
          <c:yMode val="edge"/>
          <c:x val="2.8468776308621793E-2"/>
          <c:y val="0.1239680181050256"/>
          <c:w val="0.66278958054771453"/>
          <c:h val="0.8142218139398355"/>
        </c:manualLayout>
      </c:layout>
      <c:doughnutChart>
        <c:varyColors val="1"/>
        <c:ser>
          <c:idx val="0"/>
          <c:order val="0"/>
          <c:tx>
            <c:strRef>
              <c:f>Pivot!$N$6</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2E1-4EA6-A730-AE6C45F80BA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2E1-4EA6-A730-AE6C45F80BA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2E1-4EA6-A730-AE6C45F80BAA}"/>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2E1-4EA6-A730-AE6C45F80BAA}"/>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2E1-4EA6-A730-AE6C45F80BAA}"/>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2E1-4EA6-A730-AE6C45F80BAA}"/>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A2E1-4EA6-A730-AE6C45F80BAA}"/>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A2E1-4EA6-A730-AE6C45F80BAA}"/>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A2E1-4EA6-A730-AE6C45F80BAA}"/>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Pivot!$M$7:$M$16</c:f>
              <c:strCache>
                <c:ptCount val="9"/>
                <c:pt idx="0">
                  <c:v>Electricity</c:v>
                </c:pt>
                <c:pt idx="1">
                  <c:v>Entertainment</c:v>
                </c:pt>
                <c:pt idx="2">
                  <c:v>Food</c:v>
                </c:pt>
                <c:pt idx="3">
                  <c:v>Fuel</c:v>
                </c:pt>
                <c:pt idx="4">
                  <c:v>Healthcare</c:v>
                </c:pt>
                <c:pt idx="5">
                  <c:v>Internet</c:v>
                </c:pt>
                <c:pt idx="6">
                  <c:v>Rent</c:v>
                </c:pt>
                <c:pt idx="7">
                  <c:v>Shopping</c:v>
                </c:pt>
                <c:pt idx="8">
                  <c:v>Transport</c:v>
                </c:pt>
              </c:strCache>
            </c:strRef>
          </c:cat>
          <c:val>
            <c:numRef>
              <c:f>Pivot!$N$7:$N$16</c:f>
              <c:numCache>
                <c:formatCode>[&gt;=1000000]"$"0.0,\ \,"M";[&gt;=1000]"$"0.0,"K";"$"0</c:formatCode>
                <c:ptCount val="9"/>
                <c:pt idx="0">
                  <c:v>174343</c:v>
                </c:pt>
                <c:pt idx="1">
                  <c:v>108164</c:v>
                </c:pt>
                <c:pt idx="2">
                  <c:v>237102</c:v>
                </c:pt>
                <c:pt idx="3">
                  <c:v>84388</c:v>
                </c:pt>
                <c:pt idx="4">
                  <c:v>130158</c:v>
                </c:pt>
                <c:pt idx="5">
                  <c:v>215729</c:v>
                </c:pt>
                <c:pt idx="6">
                  <c:v>316000</c:v>
                </c:pt>
                <c:pt idx="7">
                  <c:v>192774</c:v>
                </c:pt>
                <c:pt idx="8">
                  <c:v>96837</c:v>
                </c:pt>
              </c:numCache>
            </c:numRef>
          </c:val>
          <c:extLst>
            <c:ext xmlns:c16="http://schemas.microsoft.com/office/drawing/2014/chart" uri="{C3380CC4-5D6E-409C-BE32-E72D297353CC}">
              <c16:uniqueId val="{00000012-A2E1-4EA6-A730-AE6C45F80BAA}"/>
            </c:ext>
          </c:extLst>
        </c:ser>
        <c:dLbls>
          <c:showLegendKey val="0"/>
          <c:showVal val="1"/>
          <c:showCatName val="0"/>
          <c:showSerName val="0"/>
          <c:showPercent val="0"/>
          <c:showBubbleSize val="0"/>
          <c:showLeaderLines val="1"/>
        </c:dLbls>
        <c:firstSliceAng val="0"/>
        <c:holeSize val="40"/>
      </c:doughnutChart>
      <c:spPr>
        <a:noFill/>
        <a:ln>
          <a:noFill/>
        </a:ln>
        <a:effectLst/>
      </c:spPr>
    </c:plotArea>
    <c:legend>
      <c:legendPos val="r"/>
      <c:layout>
        <c:manualLayout>
          <c:xMode val="edge"/>
          <c:yMode val="edge"/>
          <c:x val="0.69617887386718169"/>
          <c:y val="0.15788938960938223"/>
          <c:w val="0.28495320160451643"/>
          <c:h val="0.76308697986454688"/>
        </c:manualLayout>
      </c:layout>
      <c:overlay val="0"/>
      <c:spPr>
        <a:noFill/>
        <a:ln>
          <a:noFill/>
        </a:ln>
        <a:effectLst/>
      </c:spPr>
      <c:txPr>
        <a:bodyPr rot="0" spcFirstLastPara="1" vertOverflow="ellipsis" vert="horz" wrap="square" anchor="ctr" anchorCtr="1"/>
        <a:lstStyle/>
        <a:p>
          <a:pPr>
            <a:defRPr sz="1200" b="1"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[personal_finance_dashboard_data.xlsm]Pivot!PivotTable4</c:name>
    <c:fmtId val="5"/>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Pivot!$F$20</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Pivot!$E$21:$E$26</c:f>
              <c:strCache>
                <c:ptCount val="5"/>
                <c:pt idx="0">
                  <c:v>Car</c:v>
                </c:pt>
                <c:pt idx="1">
                  <c:v>Emergency Fund</c:v>
                </c:pt>
                <c:pt idx="2">
                  <c:v>Investment</c:v>
                </c:pt>
                <c:pt idx="3">
                  <c:v>Saving Goal</c:v>
                </c:pt>
                <c:pt idx="4">
                  <c:v>Vacation</c:v>
                </c:pt>
              </c:strCache>
            </c:strRef>
          </c:cat>
          <c:val>
            <c:numRef>
              <c:f>Pivot!$F$21:$F$26</c:f>
              <c:numCache>
                <c:formatCode>[&gt;=1000000]"$"0.0,\ \,"M";[&gt;=1000]"$"0.0,"K";"$"0</c:formatCode>
                <c:ptCount val="5"/>
                <c:pt idx="0">
                  <c:v>408248</c:v>
                </c:pt>
                <c:pt idx="1">
                  <c:v>1062575</c:v>
                </c:pt>
                <c:pt idx="2">
                  <c:v>1224997</c:v>
                </c:pt>
                <c:pt idx="3">
                  <c:v>12028</c:v>
                </c:pt>
                <c:pt idx="4">
                  <c:v>397847</c:v>
                </c:pt>
              </c:numCache>
            </c:numRef>
          </c:val>
          <c:extLst>
            <c:ext xmlns:c16="http://schemas.microsoft.com/office/drawing/2014/chart" uri="{C3380CC4-5D6E-409C-BE32-E72D297353CC}">
              <c16:uniqueId val="{00000000-37E2-4B39-B0E3-AABF8CDCFAAE}"/>
            </c:ext>
          </c:extLst>
        </c:ser>
        <c:dLbls>
          <c:dLblPos val="outEnd"/>
          <c:showLegendKey val="0"/>
          <c:showVal val="1"/>
          <c:showCatName val="0"/>
          <c:showSerName val="0"/>
          <c:showPercent val="0"/>
          <c:showBubbleSize val="0"/>
        </c:dLbls>
        <c:gapWidth val="219"/>
        <c:overlap val="-27"/>
        <c:axId val="1106405048"/>
        <c:axId val="1106403608"/>
      </c:barChart>
      <c:catAx>
        <c:axId val="110640504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1106403608"/>
        <c:crosses val="autoZero"/>
        <c:auto val="1"/>
        <c:lblAlgn val="ctr"/>
        <c:lblOffset val="100"/>
        <c:noMultiLvlLbl val="0"/>
      </c:catAx>
      <c:valAx>
        <c:axId val="1106403608"/>
        <c:scaling>
          <c:orientation val="minMax"/>
        </c:scaling>
        <c:delete val="1"/>
        <c:axPos val="l"/>
        <c:majorGridlines>
          <c:spPr>
            <a:ln w="9525" cap="flat" cmpd="sng" algn="ctr">
              <a:solidFill>
                <a:schemeClr val="tx1">
                  <a:lumMod val="15000"/>
                  <a:lumOff val="85000"/>
                </a:schemeClr>
              </a:solidFill>
              <a:round/>
            </a:ln>
            <a:effectLst/>
          </c:spPr>
        </c:majorGridlines>
        <c:numFmt formatCode="[&gt;=1000000]&quot;$&quot;0.0,\ \,&quot;M&quot;;[&gt;=1000]&quot;$&quot;0.0,&quot;K&quot;;&quot;$&quot;0" sourceLinked="1"/>
        <c:majorTickMark val="none"/>
        <c:minorTickMark val="none"/>
        <c:tickLblPos val="nextTo"/>
        <c:crossAx val="110640504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[personal_finance_dashboard_data.xlsm]Pivot!PivotTable2</c:name>
    <c:fmtId val="3"/>
  </c:pivotSource>
  <c:chart>
    <c:title>
      <c:tx>
        <c:rich>
          <a:bodyPr rot="0" spcFirstLastPara="1" vertOverflow="ellipsis" vert="horz" wrap="square" anchor="ctr" anchorCtr="1"/>
          <a:lstStyle/>
          <a:p>
            <a:pPr>
              <a:defRPr sz="1800" b="1" i="0" u="none" strike="noStrike" kern="1200" spc="0" baseline="0">
                <a:solidFill>
                  <a:srgbClr val="002060"/>
                </a:solidFill>
                <a:latin typeface="+mn-lt"/>
                <a:ea typeface="+mn-ea"/>
                <a:cs typeface="+mn-cs"/>
              </a:defRPr>
            </a:pPr>
            <a:r>
              <a:rPr lang="en-US" sz="1800" b="1">
                <a:solidFill>
                  <a:srgbClr val="002060"/>
                </a:solidFill>
              </a:rPr>
              <a:t>Monthly</a:t>
            </a:r>
            <a:r>
              <a:rPr lang="en-US" sz="1800" b="1" baseline="0">
                <a:solidFill>
                  <a:srgbClr val="002060"/>
                </a:solidFill>
              </a:rPr>
              <a:t> Income vs Expenes</a:t>
            </a:r>
            <a:endParaRPr lang="en-US" sz="1800" b="1">
              <a:solidFill>
                <a:srgbClr val="002060"/>
              </a:solidFill>
            </a:endParaRPr>
          </a:p>
        </c:rich>
      </c:tx>
      <c:layout>
        <c:manualLayout>
          <c:xMode val="edge"/>
          <c:yMode val="edge"/>
          <c:x val="2.2178338350220629E-2"/>
          <c:y val="2.5179860869703141E-2"/>
        </c:manualLayout>
      </c:layout>
      <c:overlay val="0"/>
      <c:spPr>
        <a:noFill/>
        <a:ln>
          <a:noFill/>
        </a:ln>
        <a:effectLst/>
      </c:spPr>
      <c:txPr>
        <a:bodyPr rot="0" spcFirstLastPara="1" vertOverflow="ellipsis" vert="horz" wrap="square" anchor="ctr" anchorCtr="1"/>
        <a:lstStyle/>
        <a:p>
          <a:pPr>
            <a:defRPr sz="1800" b="1" i="0" u="none" strike="noStrike" kern="1200" spc="0" baseline="0">
              <a:solidFill>
                <a:srgbClr val="002060"/>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7"/>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b"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7"/>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t"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
        <c:spPr>
          <a:ln w="28575" cap="rnd">
            <a:solidFill>
              <a:schemeClr val="accent2"/>
            </a:solidFill>
            <a:round/>
          </a:ln>
          <a:effectLst/>
        </c:spPr>
        <c:marker>
          <c:symbol val="circle"/>
          <c:size val="7"/>
          <c:spPr>
            <a:solidFill>
              <a:schemeClr val="accent2"/>
            </a:solidFill>
            <a:ln w="9525">
              <a:solidFill>
                <a:schemeClr val="accent2"/>
              </a:solidFill>
            </a:ln>
            <a:effectLst/>
          </c:spPr>
        </c:marker>
        <c:dLbl>
          <c:idx val="0"/>
          <c:layout>
            <c:manualLayout>
              <c:x val="-7.4730885895334317E-2"/>
              <c:y val="-5.6145837708214061E-2"/>
            </c:manualLayout>
          </c:layout>
          <c:spPr>
            <a:noFill/>
            <a:ln>
              <a:noFill/>
            </a:ln>
            <a:effectLst/>
          </c:spPr>
          <c:txPr>
            <a:bodyPr rot="0" spcFirstLastPara="1" vertOverflow="ellipsis" vert="horz" wrap="square" lIns="38100" tIns="19050" rIns="38100" bIns="19050" anchor="t"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
        <c:spPr>
          <a:ln w="28575" cap="rnd">
            <a:solidFill>
              <a:schemeClr val="accent2"/>
            </a:solidFill>
            <a:round/>
          </a:ln>
          <a:effectLst/>
        </c:spPr>
        <c:marker>
          <c:symbol val="circle"/>
          <c:size val="7"/>
          <c:spPr>
            <a:solidFill>
              <a:schemeClr val="accent2"/>
            </a:solidFill>
            <a:ln w="9525">
              <a:solidFill>
                <a:schemeClr val="accent2"/>
              </a:solidFill>
            </a:ln>
            <a:effectLst/>
          </c:spPr>
        </c:marker>
        <c:dLbl>
          <c:idx val="0"/>
          <c:layout>
            <c:manualLayout>
              <c:x val="-4.9820590596889633E-2"/>
              <c:y val="-6.8177088645688541E-2"/>
            </c:manualLayout>
          </c:layout>
          <c:spPr>
            <a:noFill/>
            <a:ln>
              <a:noFill/>
            </a:ln>
            <a:effectLst/>
          </c:spPr>
          <c:txPr>
            <a:bodyPr rot="0" spcFirstLastPara="1" vertOverflow="ellipsis" vert="horz" wrap="square" lIns="38100" tIns="19050" rIns="38100" bIns="19050" anchor="t"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circle"/>
          <c:size val="7"/>
          <c:spPr>
            <a:solidFill>
              <a:schemeClr val="accent1"/>
            </a:solidFill>
            <a:ln w="9525">
              <a:solidFill>
                <a:schemeClr val="accent1"/>
              </a:solidFill>
            </a:ln>
            <a:effectLst/>
          </c:spPr>
        </c:marker>
        <c:dLbl>
          <c:idx val="0"/>
          <c:layout>
            <c:manualLayout>
              <c:x val="1.1322861499293079E-2"/>
              <c:y val="2.4062501874948884E-2"/>
            </c:manualLayout>
          </c:layout>
          <c:spPr>
            <a:noFill/>
            <a:ln>
              <a:noFill/>
            </a:ln>
            <a:effectLst/>
          </c:spPr>
          <c:txPr>
            <a:bodyPr rot="0" spcFirstLastPara="1" vertOverflow="ellipsis" vert="horz" wrap="square" lIns="38100" tIns="19050" rIns="38100" bIns="19050" anchor="b"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012823408610271"/>
          <c:y val="0.15565350660954824"/>
          <c:w val="0.85498246921746857"/>
          <c:h val="0.74732736594863314"/>
        </c:manualLayout>
      </c:layout>
      <c:lineChart>
        <c:grouping val="standard"/>
        <c:varyColors val="0"/>
        <c:ser>
          <c:idx val="0"/>
          <c:order val="0"/>
          <c:tx>
            <c:strRef>
              <c:f>Pivot!$H$4:$H$5</c:f>
              <c:strCache>
                <c:ptCount val="1"/>
                <c:pt idx="0">
                  <c:v>Expense</c:v>
                </c:pt>
              </c:strCache>
            </c:strRef>
          </c:tx>
          <c:spPr>
            <a:ln w="28575" cap="rnd">
              <a:solidFill>
                <a:schemeClr val="accent1"/>
              </a:solidFill>
              <a:round/>
            </a:ln>
            <a:effectLst/>
          </c:spPr>
          <c:marker>
            <c:symbol val="circle"/>
            <c:size val="7"/>
            <c:spPr>
              <a:solidFill>
                <a:schemeClr val="accent1"/>
              </a:solidFill>
              <a:ln w="9525">
                <a:solidFill>
                  <a:schemeClr val="accent1"/>
                </a:solidFill>
              </a:ln>
              <a:effectLst/>
            </c:spPr>
          </c:marker>
          <c:dPt>
            <c:idx val="5"/>
            <c:marker>
              <c:symbol val="circle"/>
              <c:size val="7"/>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1-A6D3-47D8-BA3E-BCC78277171C}"/>
              </c:ext>
            </c:extLst>
          </c:dPt>
          <c:dLbls>
            <c:dLbl>
              <c:idx val="5"/>
              <c:layout>
                <c:manualLayout>
                  <c:x val="1.1322861499293079E-2"/>
                  <c:y val="2.406250187494888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6D3-47D8-BA3E-BCC78277171C}"/>
                </c:ext>
              </c:extLst>
            </c:dLbl>
            <c:spPr>
              <a:noFill/>
              <a:ln>
                <a:noFill/>
              </a:ln>
              <a:effectLst/>
            </c:spPr>
            <c:txPr>
              <a:bodyPr rot="0" spcFirstLastPara="1" vertOverflow="ellipsis" vert="horz" wrap="square" lIns="38100" tIns="19050" rIns="38100" bIns="19050" anchor="b"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Pivot!$G$6:$G$13</c:f>
              <c:strCache>
                <c:ptCount val="7"/>
                <c:pt idx="0">
                  <c:v>Jan</c:v>
                </c:pt>
                <c:pt idx="1">
                  <c:v>Feb</c:v>
                </c:pt>
                <c:pt idx="2">
                  <c:v>Mar</c:v>
                </c:pt>
                <c:pt idx="3">
                  <c:v>Apr</c:v>
                </c:pt>
                <c:pt idx="4">
                  <c:v>May</c:v>
                </c:pt>
                <c:pt idx="5">
                  <c:v>Jun</c:v>
                </c:pt>
                <c:pt idx="6">
                  <c:v>Jul</c:v>
                </c:pt>
              </c:strCache>
            </c:strRef>
          </c:cat>
          <c:val>
            <c:numRef>
              <c:f>Pivot!$H$6:$H$13</c:f>
              <c:numCache>
                <c:formatCode>[&gt;=1000000]"$"0.0,\ \,"M";[&gt;=1000]"$"0.0,"K";"$"0</c:formatCode>
                <c:ptCount val="7"/>
                <c:pt idx="0">
                  <c:v>168055</c:v>
                </c:pt>
                <c:pt idx="1">
                  <c:v>264242</c:v>
                </c:pt>
                <c:pt idx="2">
                  <c:v>215737</c:v>
                </c:pt>
                <c:pt idx="3">
                  <c:v>306245</c:v>
                </c:pt>
                <c:pt idx="4">
                  <c:v>251732</c:v>
                </c:pt>
                <c:pt idx="5">
                  <c:v>333647</c:v>
                </c:pt>
                <c:pt idx="6">
                  <c:v>15837</c:v>
                </c:pt>
              </c:numCache>
            </c:numRef>
          </c:val>
          <c:smooth val="0"/>
          <c:extLst>
            <c:ext xmlns:c16="http://schemas.microsoft.com/office/drawing/2014/chart" uri="{C3380CC4-5D6E-409C-BE32-E72D297353CC}">
              <c16:uniqueId val="{00000006-B48B-4BC9-AB7C-2F71E861391D}"/>
            </c:ext>
          </c:extLst>
        </c:ser>
        <c:ser>
          <c:idx val="1"/>
          <c:order val="1"/>
          <c:tx>
            <c:strRef>
              <c:f>Pivot!$I$4:$I$5</c:f>
              <c:strCache>
                <c:ptCount val="1"/>
                <c:pt idx="0">
                  <c:v>Income</c:v>
                </c:pt>
              </c:strCache>
            </c:strRef>
          </c:tx>
          <c:spPr>
            <a:ln w="28575" cap="rnd">
              <a:solidFill>
                <a:schemeClr val="accent2"/>
              </a:solidFill>
              <a:round/>
            </a:ln>
            <a:effectLst/>
          </c:spPr>
          <c:marker>
            <c:symbol val="circle"/>
            <c:size val="7"/>
            <c:spPr>
              <a:solidFill>
                <a:schemeClr val="accent2"/>
              </a:solidFill>
              <a:ln w="9525">
                <a:solidFill>
                  <a:schemeClr val="accent2"/>
                </a:solidFill>
              </a:ln>
              <a:effectLst/>
            </c:spPr>
          </c:marker>
          <c:dPt>
            <c:idx val="1"/>
            <c:marker>
              <c:symbol val="circle"/>
              <c:size val="7"/>
              <c:spPr>
                <a:solidFill>
                  <a:schemeClr val="accent2"/>
                </a:solidFill>
                <a:ln w="9525">
                  <a:solidFill>
                    <a:schemeClr val="accent2"/>
                  </a:solidFill>
                </a:ln>
                <a:effectLst/>
              </c:spPr>
            </c:marker>
            <c:bubble3D val="0"/>
            <c:spPr>
              <a:ln w="28575" cap="rnd">
                <a:solidFill>
                  <a:schemeClr val="accent2"/>
                </a:solidFill>
                <a:round/>
              </a:ln>
              <a:effectLst/>
            </c:spPr>
            <c:extLst>
              <c:ext xmlns:c16="http://schemas.microsoft.com/office/drawing/2014/chart" uri="{C3380CC4-5D6E-409C-BE32-E72D297353CC}">
                <c16:uniqueId val="{00000003-485C-46A2-B769-51FD98D344D9}"/>
              </c:ext>
            </c:extLst>
          </c:dPt>
          <c:dPt>
            <c:idx val="5"/>
            <c:marker>
              <c:symbol val="circle"/>
              <c:size val="7"/>
              <c:spPr>
                <a:solidFill>
                  <a:schemeClr val="accent2"/>
                </a:solidFill>
                <a:ln w="9525">
                  <a:solidFill>
                    <a:schemeClr val="accent2"/>
                  </a:solidFill>
                </a:ln>
                <a:effectLst/>
              </c:spPr>
            </c:marker>
            <c:bubble3D val="0"/>
            <c:spPr>
              <a:ln w="28575" cap="rnd">
                <a:solidFill>
                  <a:schemeClr val="accent2"/>
                </a:solidFill>
                <a:round/>
              </a:ln>
              <a:effectLst/>
            </c:spPr>
            <c:extLst>
              <c:ext xmlns:c16="http://schemas.microsoft.com/office/drawing/2014/chart" uri="{C3380CC4-5D6E-409C-BE32-E72D297353CC}">
                <c16:uniqueId val="{00000005-485C-46A2-B769-51FD98D344D9}"/>
              </c:ext>
            </c:extLst>
          </c:dPt>
          <c:dLbls>
            <c:dLbl>
              <c:idx val="1"/>
              <c:layout>
                <c:manualLayout>
                  <c:x val="-7.4730885895334317E-2"/>
                  <c:y val="-5.614583770821406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485C-46A2-B769-51FD98D344D9}"/>
                </c:ext>
              </c:extLst>
            </c:dLbl>
            <c:dLbl>
              <c:idx val="5"/>
              <c:layout>
                <c:manualLayout>
                  <c:x val="-4.9820590596889633E-2"/>
                  <c:y val="-6.817708864568854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485C-46A2-B769-51FD98D344D9}"/>
                </c:ext>
              </c:extLst>
            </c:dLbl>
            <c:spPr>
              <a:noFill/>
              <a:ln>
                <a:noFill/>
              </a:ln>
              <a:effectLst/>
            </c:spPr>
            <c:txPr>
              <a:bodyPr rot="0" spcFirstLastPara="1" vertOverflow="ellipsis" vert="horz" wrap="square" lIns="38100" tIns="19050" rIns="38100" bIns="19050" anchor="t"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Pivot!$G$6:$G$13</c:f>
              <c:strCache>
                <c:ptCount val="7"/>
                <c:pt idx="0">
                  <c:v>Jan</c:v>
                </c:pt>
                <c:pt idx="1">
                  <c:v>Feb</c:v>
                </c:pt>
                <c:pt idx="2">
                  <c:v>Mar</c:v>
                </c:pt>
                <c:pt idx="3">
                  <c:v>Apr</c:v>
                </c:pt>
                <c:pt idx="4">
                  <c:v>May</c:v>
                </c:pt>
                <c:pt idx="5">
                  <c:v>Jun</c:v>
                </c:pt>
                <c:pt idx="6">
                  <c:v>Jul</c:v>
                </c:pt>
              </c:strCache>
            </c:strRef>
          </c:cat>
          <c:val>
            <c:numRef>
              <c:f>Pivot!$I$6:$I$13</c:f>
              <c:numCache>
                <c:formatCode>[&gt;=1000000]"$"0.0,\ \,"M";[&gt;=1000]"$"0.0,"K";"$"0</c:formatCode>
                <c:ptCount val="7"/>
                <c:pt idx="0">
                  <c:v>112300</c:v>
                </c:pt>
                <c:pt idx="1">
                  <c:v>335000</c:v>
                </c:pt>
                <c:pt idx="2">
                  <c:v>355000</c:v>
                </c:pt>
                <c:pt idx="3">
                  <c:v>186700</c:v>
                </c:pt>
                <c:pt idx="4">
                  <c:v>150000</c:v>
                </c:pt>
                <c:pt idx="5">
                  <c:v>351200</c:v>
                </c:pt>
                <c:pt idx="6">
                  <c:v>60000</c:v>
                </c:pt>
              </c:numCache>
            </c:numRef>
          </c:val>
          <c:smooth val="0"/>
          <c:extLst>
            <c:ext xmlns:c16="http://schemas.microsoft.com/office/drawing/2014/chart" uri="{C3380CC4-5D6E-409C-BE32-E72D297353CC}">
              <c16:uniqueId val="{00000008-A521-4BD2-B31C-9298A25AF7FA}"/>
            </c:ext>
          </c:extLst>
        </c:ser>
        <c:dLbls>
          <c:dLblPos val="r"/>
          <c:showLegendKey val="0"/>
          <c:showVal val="1"/>
          <c:showCatName val="0"/>
          <c:showSerName val="0"/>
          <c:showPercent val="0"/>
          <c:showBubbleSize val="0"/>
        </c:dLbls>
        <c:marker val="1"/>
        <c:smooth val="0"/>
        <c:axId val="1041210984"/>
        <c:axId val="1041209544"/>
      </c:lineChart>
      <c:catAx>
        <c:axId val="1041210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n-US"/>
          </a:p>
        </c:txPr>
        <c:crossAx val="1041209544"/>
        <c:crosses val="autoZero"/>
        <c:auto val="1"/>
        <c:lblAlgn val="ctr"/>
        <c:lblOffset val="100"/>
        <c:noMultiLvlLbl val="0"/>
      </c:catAx>
      <c:valAx>
        <c:axId val="1041209544"/>
        <c:scaling>
          <c:orientation val="minMax"/>
        </c:scaling>
        <c:delete val="0"/>
        <c:axPos val="l"/>
        <c:majorGridlines>
          <c:spPr>
            <a:ln w="9525" cap="flat" cmpd="sng" algn="ctr">
              <a:solidFill>
                <a:schemeClr val="tx1">
                  <a:lumMod val="15000"/>
                  <a:lumOff val="85000"/>
                </a:schemeClr>
              </a:solidFill>
              <a:round/>
            </a:ln>
            <a:effectLst/>
          </c:spPr>
        </c:majorGridlines>
        <c:numFmt formatCode="[&gt;=1000000]&quot;$&quot;0.0,\ \,&quot;M&quot;;[&gt;=1000]&quot;$&quot;0.0,&quot;K&quot;;&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1210984"/>
        <c:crosses val="autoZero"/>
        <c:crossBetween val="between"/>
      </c:valAx>
      <c:spPr>
        <a:noFill/>
        <a:ln>
          <a:noFill/>
        </a:ln>
        <a:effectLst/>
      </c:spPr>
    </c:plotArea>
    <c:legend>
      <c:legendPos val="r"/>
      <c:layout>
        <c:manualLayout>
          <c:xMode val="edge"/>
          <c:yMode val="edge"/>
          <c:x val="0.59212975400340639"/>
          <c:y val="2.6720409948756404E-2"/>
          <c:w val="0.37710950041383084"/>
          <c:h val="0.11443694538182728"/>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[personal_finance_dashboard_data.xlsm]Pivot!PivotTable3</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b="1">
                <a:solidFill>
                  <a:srgbClr val="002060"/>
                </a:solidFill>
              </a:rPr>
              <a:t>Expenses</a:t>
            </a:r>
            <a:r>
              <a:rPr lang="en-US" sz="2000" b="1" baseline="0">
                <a:solidFill>
                  <a:srgbClr val="002060"/>
                </a:solidFill>
              </a:rPr>
              <a:t> by Category</a:t>
            </a:r>
            <a:endParaRPr lang="en-US" b="1">
              <a:solidFill>
                <a:srgbClr val="002060"/>
              </a:solidFill>
            </a:endParaRPr>
          </a:p>
        </c:rich>
      </c:tx>
      <c:layout>
        <c:manualLayout>
          <c:xMode val="edge"/>
          <c:yMode val="edge"/>
          <c:x val="3.1517109889565693E-2"/>
          <c:y val="1.54525419887847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s>
    <c:plotArea>
      <c:layout>
        <c:manualLayout>
          <c:layoutTarget val="inner"/>
          <c:xMode val="edge"/>
          <c:yMode val="edge"/>
          <c:x val="2.8468776308621793E-2"/>
          <c:y val="0.1239680181050256"/>
          <c:w val="0.66278958054771453"/>
          <c:h val="0.8142218139398355"/>
        </c:manualLayout>
      </c:layout>
      <c:doughnutChart>
        <c:varyColors val="1"/>
        <c:ser>
          <c:idx val="0"/>
          <c:order val="0"/>
          <c:tx>
            <c:strRef>
              <c:f>Pivot!$N$6</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492-4668-95AE-F4D389A302A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492-4668-95AE-F4D389A302A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492-4668-95AE-F4D389A302A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492-4668-95AE-F4D389A302A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492-4668-95AE-F4D389A302A6}"/>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492-4668-95AE-F4D389A302A6}"/>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492-4668-95AE-F4D389A302A6}"/>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492-4668-95AE-F4D389A302A6}"/>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492-4668-95AE-F4D389A302A6}"/>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Pivot!$M$7:$M$16</c:f>
              <c:strCache>
                <c:ptCount val="9"/>
                <c:pt idx="0">
                  <c:v>Electricity</c:v>
                </c:pt>
                <c:pt idx="1">
                  <c:v>Entertainment</c:v>
                </c:pt>
                <c:pt idx="2">
                  <c:v>Food</c:v>
                </c:pt>
                <c:pt idx="3">
                  <c:v>Fuel</c:v>
                </c:pt>
                <c:pt idx="4">
                  <c:v>Healthcare</c:v>
                </c:pt>
                <c:pt idx="5">
                  <c:v>Internet</c:v>
                </c:pt>
                <c:pt idx="6">
                  <c:v>Rent</c:v>
                </c:pt>
                <c:pt idx="7">
                  <c:v>Shopping</c:v>
                </c:pt>
                <c:pt idx="8">
                  <c:v>Transport</c:v>
                </c:pt>
              </c:strCache>
            </c:strRef>
          </c:cat>
          <c:val>
            <c:numRef>
              <c:f>Pivot!$N$7:$N$16</c:f>
              <c:numCache>
                <c:formatCode>[&gt;=1000000]"$"0.0,\ \,"M";[&gt;=1000]"$"0.0,"K";"$"0</c:formatCode>
                <c:ptCount val="9"/>
                <c:pt idx="0">
                  <c:v>174343</c:v>
                </c:pt>
                <c:pt idx="1">
                  <c:v>108164</c:v>
                </c:pt>
                <c:pt idx="2">
                  <c:v>237102</c:v>
                </c:pt>
                <c:pt idx="3">
                  <c:v>84388</c:v>
                </c:pt>
                <c:pt idx="4">
                  <c:v>130158</c:v>
                </c:pt>
                <c:pt idx="5">
                  <c:v>215729</c:v>
                </c:pt>
                <c:pt idx="6">
                  <c:v>316000</c:v>
                </c:pt>
                <c:pt idx="7">
                  <c:v>192774</c:v>
                </c:pt>
                <c:pt idx="8">
                  <c:v>96837</c:v>
                </c:pt>
              </c:numCache>
            </c:numRef>
          </c:val>
          <c:extLst>
            <c:ext xmlns:c16="http://schemas.microsoft.com/office/drawing/2014/chart" uri="{C3380CC4-5D6E-409C-BE32-E72D297353CC}">
              <c16:uniqueId val="{00000012-9492-4668-95AE-F4D389A302A6}"/>
            </c:ext>
          </c:extLst>
        </c:ser>
        <c:dLbls>
          <c:showLegendKey val="0"/>
          <c:showVal val="1"/>
          <c:showCatName val="0"/>
          <c:showSerName val="0"/>
          <c:showPercent val="0"/>
          <c:showBubbleSize val="0"/>
          <c:showLeaderLines val="1"/>
        </c:dLbls>
        <c:firstSliceAng val="0"/>
        <c:holeSize val="40"/>
      </c:doughnutChart>
      <c:spPr>
        <a:noFill/>
        <a:ln>
          <a:noFill/>
        </a:ln>
        <a:effectLst/>
      </c:spPr>
    </c:plotArea>
    <c:legend>
      <c:legendPos val="r"/>
      <c:layout>
        <c:manualLayout>
          <c:xMode val="edge"/>
          <c:yMode val="edge"/>
          <c:x val="0.69617887386718169"/>
          <c:y val="0.15788938960938223"/>
          <c:w val="0.28495320160451643"/>
          <c:h val="0.76308697986454688"/>
        </c:manualLayout>
      </c:layout>
      <c:overlay val="0"/>
      <c:spPr>
        <a:noFill/>
        <a:ln>
          <a:noFill/>
        </a:ln>
        <a:effectLst/>
      </c:spPr>
      <c:txPr>
        <a:bodyPr rot="0" spcFirstLastPara="1" vertOverflow="ellipsis" vert="horz" wrap="square" anchor="ctr" anchorCtr="1"/>
        <a:lstStyle/>
        <a:p>
          <a:pPr>
            <a:defRPr sz="1200" b="1"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[personal_finance_dashboard_data.xlsm]Pivot!PivotTable4</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1">
                <a:solidFill>
                  <a:srgbClr val="002060"/>
                </a:solidFill>
              </a:rPr>
              <a:t>Savings</a:t>
            </a:r>
            <a:r>
              <a:rPr lang="en-US" sz="1800" b="1" baseline="0">
                <a:solidFill>
                  <a:srgbClr val="002060"/>
                </a:solidFill>
              </a:rPr>
              <a:t> Goals by Amount</a:t>
            </a:r>
            <a:endParaRPr lang="en-US" b="1">
              <a:solidFill>
                <a:srgbClr val="002060"/>
              </a:solidFill>
            </a:endParaRPr>
          </a:p>
        </c:rich>
      </c:tx>
      <c:layout>
        <c:manualLayout>
          <c:xMode val="edge"/>
          <c:yMode val="edge"/>
          <c:x val="2.4754638738858806E-2"/>
          <c:y val="3.111112335958487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00B0F0"/>
          </a:solidFill>
          <a:ln>
            <a:noFill/>
          </a:ln>
          <a:effectLst/>
        </c:spPr>
      </c:pivotFmt>
      <c:pivotFmt>
        <c:idx val="4"/>
        <c:spPr>
          <a:solidFill>
            <a:srgbClr val="00B050"/>
          </a:solidFill>
          <a:ln>
            <a:noFill/>
          </a:ln>
          <a:effectLst/>
        </c:spPr>
      </c:pivotFmt>
      <c:pivotFmt>
        <c:idx val="5"/>
        <c:spPr>
          <a:solidFill>
            <a:schemeClr val="accent2"/>
          </a:solidFill>
          <a:ln>
            <a:noFill/>
          </a:ln>
          <a:effectLst/>
        </c:spPr>
      </c:pivotFmt>
    </c:pivotFmts>
    <c:plotArea>
      <c:layout/>
      <c:barChart>
        <c:barDir val="col"/>
        <c:grouping val="clustered"/>
        <c:varyColors val="0"/>
        <c:ser>
          <c:idx val="0"/>
          <c:order val="0"/>
          <c:tx>
            <c:strRef>
              <c:f>Pivot!$F$20</c:f>
              <c:strCache>
                <c:ptCount val="1"/>
                <c:pt idx="0">
                  <c:v>Total</c:v>
                </c:pt>
              </c:strCache>
            </c:strRef>
          </c:tx>
          <c:spPr>
            <a:solidFill>
              <a:schemeClr val="accent1"/>
            </a:solidFill>
            <a:ln>
              <a:noFill/>
            </a:ln>
            <a:effectLst/>
          </c:spPr>
          <c:invertIfNegative val="0"/>
          <c:dPt>
            <c:idx val="0"/>
            <c:invertIfNegative val="0"/>
            <c:bubble3D val="0"/>
            <c:spPr>
              <a:solidFill>
                <a:schemeClr val="accent2"/>
              </a:solidFill>
              <a:ln>
                <a:noFill/>
              </a:ln>
              <a:effectLst/>
            </c:spPr>
            <c:extLst>
              <c:ext xmlns:c16="http://schemas.microsoft.com/office/drawing/2014/chart" uri="{C3380CC4-5D6E-409C-BE32-E72D297353CC}">
                <c16:uniqueId val="{00000002-393C-404C-9363-D5947626DB98}"/>
              </c:ext>
            </c:extLst>
          </c:dPt>
          <c:dPt>
            <c:idx val="2"/>
            <c:invertIfNegative val="0"/>
            <c:bubble3D val="0"/>
            <c:spPr>
              <a:solidFill>
                <a:srgbClr val="00B0F0"/>
              </a:solidFill>
              <a:ln>
                <a:noFill/>
              </a:ln>
              <a:effectLst/>
            </c:spPr>
            <c:extLst>
              <c:ext xmlns:c16="http://schemas.microsoft.com/office/drawing/2014/chart" uri="{C3380CC4-5D6E-409C-BE32-E72D297353CC}">
                <c16:uniqueId val="{00000000-393C-404C-9363-D5947626DB98}"/>
              </c:ext>
            </c:extLst>
          </c:dPt>
          <c:dPt>
            <c:idx val="3"/>
            <c:invertIfNegative val="0"/>
            <c:bubble3D val="0"/>
            <c:extLst>
              <c:ext xmlns:c16="http://schemas.microsoft.com/office/drawing/2014/chart" uri="{C3380CC4-5D6E-409C-BE32-E72D297353CC}">
                <c16:uniqueId val="{00000005-DCF8-46E0-8936-5B05E36751A6}"/>
              </c:ext>
            </c:extLst>
          </c:dPt>
          <c:dPt>
            <c:idx val="4"/>
            <c:invertIfNegative val="0"/>
            <c:bubble3D val="0"/>
            <c:spPr>
              <a:solidFill>
                <a:srgbClr val="00B050"/>
              </a:solidFill>
              <a:ln>
                <a:noFill/>
              </a:ln>
              <a:effectLst/>
            </c:spPr>
            <c:extLst>
              <c:ext xmlns:c16="http://schemas.microsoft.com/office/drawing/2014/chart" uri="{C3380CC4-5D6E-409C-BE32-E72D297353CC}">
                <c16:uniqueId val="{00000001-393C-404C-9363-D5947626DB98}"/>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Pivot!$E$21:$E$26</c:f>
              <c:strCache>
                <c:ptCount val="5"/>
                <c:pt idx="0">
                  <c:v>Car</c:v>
                </c:pt>
                <c:pt idx="1">
                  <c:v>Emergency Fund</c:v>
                </c:pt>
                <c:pt idx="2">
                  <c:v>Investment</c:v>
                </c:pt>
                <c:pt idx="3">
                  <c:v>Saving Goal</c:v>
                </c:pt>
                <c:pt idx="4">
                  <c:v>Vacation</c:v>
                </c:pt>
              </c:strCache>
            </c:strRef>
          </c:cat>
          <c:val>
            <c:numRef>
              <c:f>Pivot!$F$21:$F$26</c:f>
              <c:numCache>
                <c:formatCode>[&gt;=1000000]"$"0.0,\ \,"M";[&gt;=1000]"$"0.0,"K";"$"0</c:formatCode>
                <c:ptCount val="5"/>
                <c:pt idx="0">
                  <c:v>408248</c:v>
                </c:pt>
                <c:pt idx="1">
                  <c:v>1062575</c:v>
                </c:pt>
                <c:pt idx="2">
                  <c:v>1224997</c:v>
                </c:pt>
                <c:pt idx="3">
                  <c:v>12028</c:v>
                </c:pt>
                <c:pt idx="4">
                  <c:v>397847</c:v>
                </c:pt>
              </c:numCache>
            </c:numRef>
          </c:val>
          <c:extLst>
            <c:ext xmlns:c16="http://schemas.microsoft.com/office/drawing/2014/chart" uri="{C3380CC4-5D6E-409C-BE32-E72D297353CC}">
              <c16:uniqueId val="{00000000-6AF7-497A-A3D6-15ED1F5C3754}"/>
            </c:ext>
          </c:extLst>
        </c:ser>
        <c:dLbls>
          <c:dLblPos val="outEnd"/>
          <c:showLegendKey val="0"/>
          <c:showVal val="1"/>
          <c:showCatName val="0"/>
          <c:showSerName val="0"/>
          <c:showPercent val="0"/>
          <c:showBubbleSize val="0"/>
        </c:dLbls>
        <c:gapWidth val="219"/>
        <c:overlap val="-27"/>
        <c:axId val="1106405048"/>
        <c:axId val="1106403608"/>
      </c:barChart>
      <c:catAx>
        <c:axId val="110640504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n-US"/>
          </a:p>
        </c:txPr>
        <c:crossAx val="1106403608"/>
        <c:crosses val="autoZero"/>
        <c:auto val="1"/>
        <c:lblAlgn val="ctr"/>
        <c:lblOffset val="100"/>
        <c:noMultiLvlLbl val="0"/>
      </c:catAx>
      <c:valAx>
        <c:axId val="1106403608"/>
        <c:scaling>
          <c:orientation val="minMax"/>
        </c:scaling>
        <c:delete val="0"/>
        <c:axPos val="l"/>
        <c:majorGridlines>
          <c:spPr>
            <a:ln w="9525" cap="flat" cmpd="sng" algn="ctr">
              <a:solidFill>
                <a:schemeClr val="tx1">
                  <a:lumMod val="15000"/>
                  <a:lumOff val="85000"/>
                </a:schemeClr>
              </a:solidFill>
              <a:round/>
            </a:ln>
            <a:effectLst/>
          </c:spPr>
        </c:majorGridlines>
        <c:numFmt formatCode="[&gt;=1000000]&quot;$&quot;0.0,\ \,&quot;M&quot;;[&gt;=1000]&quot;$&quot;0.0,&quot;K&quot;;&quot;$&quot;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640504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[personal_finance_dashboard_data.xlsm]Pivot!PivotTable6</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b="1">
                <a:solidFill>
                  <a:srgbClr val="002060"/>
                </a:solidFill>
              </a:rPr>
              <a:t>Income</a:t>
            </a:r>
            <a:r>
              <a:rPr lang="en-US" sz="2000" b="1" baseline="0">
                <a:solidFill>
                  <a:srgbClr val="002060"/>
                </a:solidFill>
              </a:rPr>
              <a:t> by Category</a:t>
            </a:r>
            <a:endParaRPr lang="en-US" b="1">
              <a:solidFill>
                <a:srgbClr val="002060"/>
              </a:solidFill>
            </a:endParaRPr>
          </a:p>
        </c:rich>
      </c:tx>
      <c:layout>
        <c:manualLayout>
          <c:xMode val="edge"/>
          <c:yMode val="edge"/>
          <c:x val="3.0961790803170183E-2"/>
          <c:y val="1.223776729162792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81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Pivot!$P$23</c:f>
              <c:strCache>
                <c:ptCount val="1"/>
                <c:pt idx="0">
                  <c:v>Total</c:v>
                </c:pt>
              </c:strCache>
            </c:strRef>
          </c:tx>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81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Pivot!$O$24:$O$28</c:f>
              <c:strCache>
                <c:ptCount val="4"/>
                <c:pt idx="0">
                  <c:v>Bonus</c:v>
                </c:pt>
                <c:pt idx="1">
                  <c:v>Freelancing</c:v>
                </c:pt>
                <c:pt idx="2">
                  <c:v>Interest</c:v>
                </c:pt>
                <c:pt idx="3">
                  <c:v>Salary</c:v>
                </c:pt>
              </c:strCache>
            </c:strRef>
          </c:cat>
          <c:val>
            <c:numRef>
              <c:f>Pivot!$P$24:$P$28</c:f>
              <c:numCache>
                <c:formatCode>[&gt;=1000000]"$"0.0,\ \,"M";[&gt;=1000]"$"0.0,"K";"$"0</c:formatCode>
                <c:ptCount val="4"/>
                <c:pt idx="0">
                  <c:v>25000</c:v>
                </c:pt>
                <c:pt idx="1">
                  <c:v>110000</c:v>
                </c:pt>
                <c:pt idx="2">
                  <c:v>5200</c:v>
                </c:pt>
                <c:pt idx="3">
                  <c:v>1410000</c:v>
                </c:pt>
              </c:numCache>
            </c:numRef>
          </c:val>
          <c:extLst>
            <c:ext xmlns:c16="http://schemas.microsoft.com/office/drawing/2014/chart" uri="{C3380CC4-5D6E-409C-BE32-E72D297353CC}">
              <c16:uniqueId val="{00000000-B6E6-4A5E-B5B1-42BA93A8B477}"/>
            </c:ext>
          </c:extLst>
        </c:ser>
        <c:dLbls>
          <c:showLegendKey val="0"/>
          <c:showVal val="0"/>
          <c:showCatName val="0"/>
          <c:showSerName val="0"/>
          <c:showPercent val="0"/>
          <c:showBubbleSize val="0"/>
        </c:dLbls>
        <c:gapWidth val="219"/>
        <c:overlap val="-27"/>
        <c:axId val="793170384"/>
        <c:axId val="793172184"/>
      </c:barChart>
      <c:catAx>
        <c:axId val="793170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793172184"/>
        <c:crosses val="autoZero"/>
        <c:auto val="1"/>
        <c:lblAlgn val="ctr"/>
        <c:lblOffset val="100"/>
        <c:noMultiLvlLbl val="0"/>
      </c:catAx>
      <c:valAx>
        <c:axId val="793172184"/>
        <c:scaling>
          <c:orientation val="minMax"/>
        </c:scaling>
        <c:delete val="0"/>
        <c:axPos val="l"/>
        <c:majorGridlines>
          <c:spPr>
            <a:ln w="9525" cap="flat" cmpd="sng" algn="ctr">
              <a:solidFill>
                <a:schemeClr val="tx1">
                  <a:lumMod val="15000"/>
                  <a:lumOff val="85000"/>
                </a:schemeClr>
              </a:solidFill>
              <a:round/>
            </a:ln>
            <a:effectLst/>
          </c:spPr>
        </c:majorGridlines>
        <c:numFmt formatCode="[&gt;=1000000]&quot;$&quot;0.0,\ \,&quot;M&quot;;[&gt;=1000]&quot;$&quot;0.0,&quot;K&quot;;&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317038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[personal_finance_dashboard_data.xlsm]Pivot!PivotTable7</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1" i="0" u="none" strike="noStrike" baseline="0">
                <a:solidFill>
                  <a:srgbClr val="002060"/>
                </a:solidFill>
                <a:effectLst/>
              </a:rPr>
              <a:t>Spending by Peyment Method </a:t>
            </a:r>
            <a:endParaRPr lang="en-US" b="1">
              <a:solidFill>
                <a:srgbClr val="00206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dLbl>
          <c:idx val="0"/>
          <c:layout>
            <c:manualLayout>
              <c:x val="6.9444444444443807E-3"/>
              <c:y val="2.3255813953488372E-2"/>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dLbl>
          <c:idx val="0"/>
          <c:layout>
            <c:manualLayout>
              <c:x val="0"/>
              <c:y val="-7.7519379844961239E-3"/>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s>
    <c:plotArea>
      <c:layout/>
      <c:doughnutChart>
        <c:varyColors val="1"/>
        <c:ser>
          <c:idx val="0"/>
          <c:order val="0"/>
          <c:tx>
            <c:strRef>
              <c:f>Pivot!$T$6</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A9E-4D0E-A1D7-29AC9700EDE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A9E-4D0E-A1D7-29AC9700EDE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A9E-4D0E-A1D7-29AC9700EDE0}"/>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A9E-4D0E-A1D7-29AC9700EDE0}"/>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FA9E-4D0E-A1D7-29AC9700EDE0}"/>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FA9E-4D0E-A1D7-29AC9700EDE0}"/>
              </c:ext>
            </c:extLst>
          </c:dPt>
          <c:dLbls>
            <c:dLbl>
              <c:idx val="2"/>
              <c:layout>
                <c:manualLayout>
                  <c:x val="6.9444444444443807E-3"/>
                  <c:y val="2.325581395348837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FA9E-4D0E-A1D7-29AC9700EDE0}"/>
                </c:ext>
              </c:extLst>
            </c:dLbl>
            <c:dLbl>
              <c:idx val="3"/>
              <c:layout>
                <c:manualLayout>
                  <c:x val="0"/>
                  <c:y val="-7.7519379844961239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FA9E-4D0E-A1D7-29AC9700EDE0}"/>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Pivot!$S$7:$S$13</c:f>
              <c:strCache>
                <c:ptCount val="6"/>
                <c:pt idx="0">
                  <c:v>Bank Transfer</c:v>
                </c:pt>
                <c:pt idx="1">
                  <c:v>Cash</c:v>
                </c:pt>
                <c:pt idx="2">
                  <c:v>Credit Card</c:v>
                </c:pt>
                <c:pt idx="3">
                  <c:v>Debit Card</c:v>
                </c:pt>
                <c:pt idx="4">
                  <c:v>Net Banking</c:v>
                </c:pt>
                <c:pt idx="5">
                  <c:v>UPI</c:v>
                </c:pt>
              </c:strCache>
            </c:strRef>
          </c:cat>
          <c:val>
            <c:numRef>
              <c:f>Pivot!$T$7:$T$13</c:f>
              <c:numCache>
                <c:formatCode>[&gt;=1000000]"$"0.0,\ \,"M";[&gt;=1000]"$"0.0,"K";"$"0</c:formatCode>
                <c:ptCount val="6"/>
                <c:pt idx="0">
                  <c:v>792893</c:v>
                </c:pt>
                <c:pt idx="1">
                  <c:v>539207</c:v>
                </c:pt>
                <c:pt idx="2">
                  <c:v>401137</c:v>
                </c:pt>
                <c:pt idx="3">
                  <c:v>184166</c:v>
                </c:pt>
                <c:pt idx="4">
                  <c:v>658471</c:v>
                </c:pt>
                <c:pt idx="5">
                  <c:v>529821</c:v>
                </c:pt>
              </c:numCache>
            </c:numRef>
          </c:val>
          <c:extLst>
            <c:ext xmlns:c16="http://schemas.microsoft.com/office/drawing/2014/chart" uri="{C3380CC4-5D6E-409C-BE32-E72D297353CC}">
              <c16:uniqueId val="{0000000C-FA9E-4D0E-A1D7-29AC9700EDE0}"/>
            </c:ext>
          </c:extLst>
        </c:ser>
        <c:dLbls>
          <c:showLegendKey val="0"/>
          <c:showVal val="1"/>
          <c:showCatName val="0"/>
          <c:showSerName val="0"/>
          <c:showPercent val="0"/>
          <c:showBubbleSize val="0"/>
          <c:showLeaderLines val="1"/>
        </c:dLbls>
        <c:firstSliceAng val="0"/>
        <c:holeSize val="40"/>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[personal_finance_dashboard_data.xlsm]Pivot!PivotTable8</c:name>
    <c:fmtId val="2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1">
                <a:solidFill>
                  <a:srgbClr val="002060"/>
                </a:solidFill>
              </a:rPr>
              <a:t>Budget</a:t>
            </a:r>
            <a:r>
              <a:rPr lang="en-US" sz="1800" b="1" baseline="0">
                <a:solidFill>
                  <a:srgbClr val="002060"/>
                </a:solidFill>
              </a:rPr>
              <a:t> vs Actual</a:t>
            </a:r>
            <a:endParaRPr lang="en-US" b="1">
              <a:solidFill>
                <a:srgbClr val="002060"/>
              </a:solidFill>
            </a:endParaRPr>
          </a:p>
        </c:rich>
      </c:tx>
      <c:layout>
        <c:manualLayout>
          <c:xMode val="edge"/>
          <c:yMode val="edge"/>
          <c:x val="7.0057318121476642E-2"/>
          <c:y val="2.341136815482472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2"/>
          </a:solidFill>
          <a:ln>
            <a:noFill/>
          </a:ln>
          <a:effectLst/>
        </c:spPr>
        <c:dLbl>
          <c:idx val="0"/>
          <c:layout>
            <c:manualLayout>
              <c:x val="6.4516115376319669E-2"/>
              <c:y val="1.9509473462353936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dLbl>
          <c:idx val="0"/>
          <c:layout>
            <c:manualLayout>
              <c:x val="-3.763440063618647E-2"/>
              <c:y val="-1.170568407741238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2"/>
          </a:solidFill>
          <a:ln>
            <a:noFill/>
          </a:ln>
          <a:effectLst/>
        </c:spPr>
        <c:dLbl>
          <c:idx val="0"/>
          <c:layout>
            <c:manualLayout>
              <c:x val="4.83870865322397E-2"/>
              <c:y val="-3.5766954831401227E-17"/>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dLbl>
          <c:idx val="0"/>
          <c:layout>
            <c:manualLayout>
              <c:x val="-3.2258057688159834E-2"/>
              <c:y val="-1.5607578769883149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dLbl>
          <c:idx val="0"/>
          <c:layout>
            <c:manualLayout>
              <c:x val="5.3763429480267371E-3"/>
              <c:y val="-2.3411368154824794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2"/>
          </a:solidFill>
          <a:ln>
            <a:noFill/>
          </a:ln>
          <a:effectLst/>
        </c:spPr>
        <c:dLbl>
          <c:idx val="0"/>
          <c:layout>
            <c:manualLayout>
              <c:x val="3.4946229162172958E-2"/>
              <c:y val="-2.3411368154824724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dLbl>
          <c:idx val="0"/>
          <c:layout>
            <c:manualLayout>
              <c:x val="2.9569886214146513E-2"/>
              <c:y val="-2.3411368154824724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2"/>
          </a:solidFill>
          <a:ln>
            <a:noFill/>
          </a:ln>
          <a:effectLst/>
        </c:spPr>
        <c:dLbl>
          <c:idx val="0"/>
          <c:layout>
            <c:manualLayout>
              <c:x val="0"/>
              <c:y val="-1.9509473462354009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461881031016468"/>
          <c:y val="0.16778147177624386"/>
          <c:w val="0.86714687540579316"/>
          <c:h val="0.64103152577293621"/>
        </c:manualLayout>
      </c:layout>
      <c:barChart>
        <c:barDir val="col"/>
        <c:grouping val="clustered"/>
        <c:varyColors val="0"/>
        <c:ser>
          <c:idx val="0"/>
          <c:order val="0"/>
          <c:tx>
            <c:strRef>
              <c:f>Pivot!$X$6</c:f>
              <c:strCache>
                <c:ptCount val="1"/>
                <c:pt idx="0">
                  <c:v>Sum of Amount  Spent </c:v>
                </c:pt>
              </c:strCache>
            </c:strRef>
          </c:tx>
          <c:spPr>
            <a:solidFill>
              <a:schemeClr val="accent1"/>
            </a:solidFill>
            <a:ln>
              <a:noFill/>
            </a:ln>
            <a:effectLst/>
          </c:spPr>
          <c:invertIfNegative val="0"/>
          <c:dPt>
            <c:idx val="1"/>
            <c:invertIfNegative val="0"/>
            <c:bubble3D val="0"/>
            <c:spPr>
              <a:solidFill>
                <a:schemeClr val="accent1"/>
              </a:solidFill>
              <a:ln>
                <a:noFill/>
              </a:ln>
              <a:effectLst/>
            </c:spPr>
            <c:extLst>
              <c:ext xmlns:c16="http://schemas.microsoft.com/office/drawing/2014/chart" uri="{C3380CC4-5D6E-409C-BE32-E72D297353CC}">
                <c16:uniqueId val="{00000001-4445-420B-A5B2-67F875409522}"/>
              </c:ext>
            </c:extLst>
          </c:dPt>
          <c:dPt>
            <c:idx val="3"/>
            <c:invertIfNegative val="0"/>
            <c:bubble3D val="0"/>
            <c:extLst>
              <c:ext xmlns:c16="http://schemas.microsoft.com/office/drawing/2014/chart" uri="{C3380CC4-5D6E-409C-BE32-E72D297353CC}">
                <c16:uniqueId val="{00000003-4445-420B-A5B2-67F875409522}"/>
              </c:ext>
            </c:extLst>
          </c:dPt>
          <c:dPt>
            <c:idx val="4"/>
            <c:invertIfNegative val="0"/>
            <c:bubble3D val="0"/>
            <c:spPr>
              <a:solidFill>
                <a:schemeClr val="accent1"/>
              </a:solidFill>
              <a:ln>
                <a:noFill/>
              </a:ln>
              <a:effectLst/>
            </c:spPr>
            <c:extLst>
              <c:ext xmlns:c16="http://schemas.microsoft.com/office/drawing/2014/chart" uri="{C3380CC4-5D6E-409C-BE32-E72D297353CC}">
                <c16:uniqueId val="{00000005-4445-420B-A5B2-67F875409522}"/>
              </c:ext>
            </c:extLst>
          </c:dPt>
          <c:dPt>
            <c:idx val="5"/>
            <c:invertIfNegative val="0"/>
            <c:bubble3D val="0"/>
            <c:spPr>
              <a:solidFill>
                <a:schemeClr val="accent1"/>
              </a:solidFill>
              <a:ln>
                <a:noFill/>
              </a:ln>
              <a:effectLst/>
            </c:spPr>
            <c:extLst>
              <c:ext xmlns:c16="http://schemas.microsoft.com/office/drawing/2014/chart" uri="{C3380CC4-5D6E-409C-BE32-E72D297353CC}">
                <c16:uniqueId val="{00000006-1B0E-4907-93BE-E26FAC7738B4}"/>
              </c:ext>
            </c:extLst>
          </c:dPt>
          <c:dLbls>
            <c:dLbl>
              <c:idx val="1"/>
              <c:layout>
                <c:manualLayout>
                  <c:x val="-3.2258057688159834E-2"/>
                  <c:y val="-1.5607578769883149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4445-420B-A5B2-67F875409522}"/>
                </c:ext>
              </c:extLst>
            </c:dLbl>
            <c:dLbl>
              <c:idx val="4"/>
              <c:layout>
                <c:manualLayout>
                  <c:x val="-3.763440063618647E-2"/>
                  <c:y val="-1.170568407741238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4445-420B-A5B2-67F875409522}"/>
                </c:ext>
              </c:extLst>
            </c:dLbl>
            <c:dLbl>
              <c:idx val="5"/>
              <c:layout>
                <c:manualLayout>
                  <c:x val="2.9569886214146513E-2"/>
                  <c:y val="-2.3411368154824724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1B0E-4907-93BE-E26FAC7738B4}"/>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Pivot!$W$7:$W$13</c:f>
              <c:strCache>
                <c:ptCount val="6"/>
                <c:pt idx="0">
                  <c:v>Electricity</c:v>
                </c:pt>
                <c:pt idx="1">
                  <c:v>Food</c:v>
                </c:pt>
                <c:pt idx="2">
                  <c:v>Healthcare</c:v>
                </c:pt>
                <c:pt idx="3">
                  <c:v>Internet</c:v>
                </c:pt>
                <c:pt idx="4">
                  <c:v>Rent</c:v>
                </c:pt>
                <c:pt idx="5">
                  <c:v>Shopping</c:v>
                </c:pt>
              </c:strCache>
            </c:strRef>
          </c:cat>
          <c:val>
            <c:numRef>
              <c:f>Pivot!$X$7:$X$13</c:f>
              <c:numCache>
                <c:formatCode>[&gt;=1000000]"$"0.0,\ \,"M";[&gt;=1000]"$"0.0,"K";"$"0</c:formatCode>
                <c:ptCount val="6"/>
                <c:pt idx="0">
                  <c:v>174343</c:v>
                </c:pt>
                <c:pt idx="1">
                  <c:v>237102</c:v>
                </c:pt>
                <c:pt idx="2">
                  <c:v>130158</c:v>
                </c:pt>
                <c:pt idx="3">
                  <c:v>215729</c:v>
                </c:pt>
                <c:pt idx="4">
                  <c:v>316000</c:v>
                </c:pt>
                <c:pt idx="5">
                  <c:v>192774</c:v>
                </c:pt>
              </c:numCache>
            </c:numRef>
          </c:val>
          <c:extLst>
            <c:ext xmlns:c16="http://schemas.microsoft.com/office/drawing/2014/chart" uri="{C3380CC4-5D6E-409C-BE32-E72D297353CC}">
              <c16:uniqueId val="{00000000-5140-4D9F-AAFF-D80E2E3CE572}"/>
            </c:ext>
          </c:extLst>
        </c:ser>
        <c:ser>
          <c:idx val="1"/>
          <c:order val="1"/>
          <c:tx>
            <c:strRef>
              <c:f>Pivot!$Y$6</c:f>
              <c:strCache>
                <c:ptCount val="1"/>
                <c:pt idx="0">
                  <c:v>Sum of Budget Allocated</c:v>
                </c:pt>
              </c:strCache>
            </c:strRef>
          </c:tx>
          <c:spPr>
            <a:solidFill>
              <a:schemeClr val="accent2"/>
            </a:solidFill>
            <a:ln>
              <a:noFill/>
            </a:ln>
            <a:effectLst/>
          </c:spPr>
          <c:invertIfNegative val="0"/>
          <c:dPt>
            <c:idx val="1"/>
            <c:invertIfNegative val="0"/>
            <c:bubble3D val="0"/>
            <c:spPr>
              <a:solidFill>
                <a:schemeClr val="accent2"/>
              </a:solidFill>
              <a:ln>
                <a:noFill/>
              </a:ln>
              <a:effectLst/>
            </c:spPr>
            <c:extLst>
              <c:ext xmlns:c16="http://schemas.microsoft.com/office/drawing/2014/chart" uri="{C3380CC4-5D6E-409C-BE32-E72D297353CC}">
                <c16:uniqueId val="{00000007-4445-420B-A5B2-67F875409522}"/>
              </c:ext>
            </c:extLst>
          </c:dPt>
          <c:dPt>
            <c:idx val="2"/>
            <c:invertIfNegative val="0"/>
            <c:bubble3D val="0"/>
            <c:extLst>
              <c:ext xmlns:c16="http://schemas.microsoft.com/office/drawing/2014/chart" uri="{C3380CC4-5D6E-409C-BE32-E72D297353CC}">
                <c16:uniqueId val="{00000004-5140-4D9F-AAFF-D80E2E3CE572}"/>
              </c:ext>
            </c:extLst>
          </c:dPt>
          <c:dPt>
            <c:idx val="3"/>
            <c:invertIfNegative val="0"/>
            <c:bubble3D val="0"/>
            <c:spPr>
              <a:solidFill>
                <a:schemeClr val="accent2"/>
              </a:solidFill>
              <a:ln>
                <a:noFill/>
              </a:ln>
              <a:effectLst/>
            </c:spPr>
            <c:extLst>
              <c:ext xmlns:c16="http://schemas.microsoft.com/office/drawing/2014/chart" uri="{C3380CC4-5D6E-409C-BE32-E72D297353CC}">
                <c16:uniqueId val="{0000000B-4445-420B-A5B2-67F875409522}"/>
              </c:ext>
            </c:extLst>
          </c:dPt>
          <c:dPt>
            <c:idx val="4"/>
            <c:invertIfNegative val="0"/>
            <c:bubble3D val="0"/>
            <c:spPr>
              <a:solidFill>
                <a:schemeClr val="accent2"/>
              </a:solidFill>
              <a:ln>
                <a:noFill/>
              </a:ln>
              <a:effectLst/>
            </c:spPr>
            <c:extLst>
              <c:ext xmlns:c16="http://schemas.microsoft.com/office/drawing/2014/chart" uri="{C3380CC4-5D6E-409C-BE32-E72D297353CC}">
                <c16:uniqueId val="{0000000D-4445-420B-A5B2-67F875409522}"/>
              </c:ext>
            </c:extLst>
          </c:dPt>
          <c:dPt>
            <c:idx val="5"/>
            <c:invertIfNegative val="0"/>
            <c:bubble3D val="0"/>
            <c:spPr>
              <a:solidFill>
                <a:schemeClr val="accent2"/>
              </a:solidFill>
              <a:ln>
                <a:noFill/>
              </a:ln>
              <a:effectLst/>
            </c:spPr>
            <c:extLst>
              <c:ext xmlns:c16="http://schemas.microsoft.com/office/drawing/2014/chart" uri="{C3380CC4-5D6E-409C-BE32-E72D297353CC}">
                <c16:uniqueId val="{0000000F-1B0E-4907-93BE-E26FAC7738B4}"/>
              </c:ext>
            </c:extLst>
          </c:dPt>
          <c:dLbls>
            <c:dLbl>
              <c:idx val="1"/>
              <c:layout>
                <c:manualLayout>
                  <c:x val="4.83870865322397E-2"/>
                  <c:y val="-3.5766954831401227E-17"/>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4445-420B-A5B2-67F875409522}"/>
                </c:ext>
              </c:extLst>
            </c:dLbl>
            <c:dLbl>
              <c:idx val="3"/>
              <c:layout>
                <c:manualLayout>
                  <c:x val="0"/>
                  <c:y val="-1.9509473462354009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4445-420B-A5B2-67F875409522}"/>
                </c:ext>
              </c:extLst>
            </c:dLbl>
            <c:dLbl>
              <c:idx val="4"/>
              <c:layout>
                <c:manualLayout>
                  <c:x val="6.4516115376319669E-2"/>
                  <c:y val="1.9509473462353936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4445-420B-A5B2-67F875409522}"/>
                </c:ext>
              </c:extLst>
            </c:dLbl>
            <c:dLbl>
              <c:idx val="5"/>
              <c:layout>
                <c:manualLayout>
                  <c:x val="3.4946229162172958E-2"/>
                  <c:y val="-2.3411368154824724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1B0E-4907-93BE-E26FAC7738B4}"/>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Pivot!$W$7:$W$13</c:f>
              <c:strCache>
                <c:ptCount val="6"/>
                <c:pt idx="0">
                  <c:v>Electricity</c:v>
                </c:pt>
                <c:pt idx="1">
                  <c:v>Food</c:v>
                </c:pt>
                <c:pt idx="2">
                  <c:v>Healthcare</c:v>
                </c:pt>
                <c:pt idx="3">
                  <c:v>Internet</c:v>
                </c:pt>
                <c:pt idx="4">
                  <c:v>Rent</c:v>
                </c:pt>
                <c:pt idx="5">
                  <c:v>Shopping</c:v>
                </c:pt>
              </c:strCache>
            </c:strRef>
          </c:cat>
          <c:val>
            <c:numRef>
              <c:f>Pivot!$Y$7:$Y$13</c:f>
              <c:numCache>
                <c:formatCode>[&gt;=1000000]"$"0.0,\ \,"M";[&gt;=1000]"$"0.0,"K";"$"0</c:formatCode>
                <c:ptCount val="6"/>
                <c:pt idx="0">
                  <c:v>51000</c:v>
                </c:pt>
                <c:pt idx="1">
                  <c:v>250000</c:v>
                </c:pt>
                <c:pt idx="2">
                  <c:v>68000</c:v>
                </c:pt>
                <c:pt idx="3">
                  <c:v>50000</c:v>
                </c:pt>
                <c:pt idx="4">
                  <c:v>320000</c:v>
                </c:pt>
                <c:pt idx="5">
                  <c:v>144000</c:v>
                </c:pt>
              </c:numCache>
            </c:numRef>
          </c:val>
          <c:extLst>
            <c:ext xmlns:c16="http://schemas.microsoft.com/office/drawing/2014/chart" uri="{C3380CC4-5D6E-409C-BE32-E72D297353CC}">
              <c16:uniqueId val="{00000001-5140-4D9F-AAFF-D80E2E3CE572}"/>
            </c:ext>
          </c:extLst>
        </c:ser>
        <c:dLbls>
          <c:dLblPos val="outEnd"/>
          <c:showLegendKey val="0"/>
          <c:showVal val="1"/>
          <c:showCatName val="0"/>
          <c:showSerName val="0"/>
          <c:showPercent val="0"/>
          <c:showBubbleSize val="0"/>
        </c:dLbls>
        <c:gapWidth val="50"/>
        <c:overlap val="-27"/>
        <c:axId val="898106408"/>
        <c:axId val="898101728"/>
      </c:barChart>
      <c:catAx>
        <c:axId val="8981064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crossAx val="898101728"/>
        <c:crosses val="autoZero"/>
        <c:auto val="1"/>
        <c:lblAlgn val="ctr"/>
        <c:lblOffset val="100"/>
        <c:noMultiLvlLbl val="0"/>
      </c:catAx>
      <c:valAx>
        <c:axId val="898101728"/>
        <c:scaling>
          <c:orientation val="minMax"/>
        </c:scaling>
        <c:delete val="0"/>
        <c:axPos val="l"/>
        <c:majorGridlines>
          <c:spPr>
            <a:ln w="9525" cap="flat" cmpd="sng" algn="ctr">
              <a:solidFill>
                <a:schemeClr val="tx1">
                  <a:lumMod val="15000"/>
                  <a:lumOff val="85000"/>
                </a:schemeClr>
              </a:solidFill>
              <a:round/>
            </a:ln>
            <a:effectLst/>
          </c:spPr>
        </c:majorGridlines>
        <c:numFmt formatCode="[&gt;=1000000]&quot;$&quot;0.0,\ \,&quot;M&quot;;[&gt;=1000]&quot;$&quot;0.0,&quot;K&quot;;&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8106408"/>
        <c:crosses val="autoZero"/>
        <c:crossBetween val="between"/>
      </c:valAx>
      <c:spPr>
        <a:noFill/>
        <a:ln>
          <a:noFill/>
        </a:ln>
        <a:effectLst/>
      </c:spPr>
    </c:plotArea>
    <c:legend>
      <c:legendPos val="r"/>
      <c:layout>
        <c:manualLayout>
          <c:xMode val="edge"/>
          <c:yMode val="edge"/>
          <c:x val="0.41111498469349467"/>
          <c:y val="2.4455969883517691E-2"/>
          <c:w val="0.57427744105246037"/>
          <c:h val="0.13168986757829673"/>
        </c:manualLayout>
      </c:layout>
      <c:overlay val="0"/>
      <c:spPr>
        <a:noFill/>
        <a:ln>
          <a:noFill/>
        </a:ln>
        <a:effectLst/>
      </c:spPr>
      <c:txPr>
        <a:bodyPr rot="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[personal_finance_dashboard_data.xlsm]Pivot!PivotTable9</c:name>
    <c:fmtId val="2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1">
                <a:solidFill>
                  <a:srgbClr val="002060"/>
                </a:solidFill>
              </a:rPr>
              <a:t>Payment</a:t>
            </a:r>
            <a:r>
              <a:rPr lang="en-US" sz="1800" b="1" baseline="0">
                <a:solidFill>
                  <a:srgbClr val="002060"/>
                </a:solidFill>
              </a:rPr>
              <a:t> Method (Expenses)</a:t>
            </a:r>
            <a:endParaRPr lang="en-US" b="1">
              <a:solidFill>
                <a:srgbClr val="002060"/>
              </a:solidFill>
            </a:endParaRPr>
          </a:p>
        </c:rich>
      </c:tx>
      <c:layout>
        <c:manualLayout>
          <c:xMode val="edge"/>
          <c:yMode val="edge"/>
          <c:x val="3.1674164289487258E-2"/>
          <c:y val="3.09050839775694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chemeClr val="accent4">
                  <a:lumMod val="40000"/>
                  <a:lumOff val="60000"/>
                </a:schemeClr>
              </a:gs>
              <a:gs pos="46000">
                <a:schemeClr val="accent4">
                  <a:lumMod val="95000"/>
                  <a:lumOff val="5000"/>
                </a:schemeClr>
              </a:gs>
              <a:gs pos="100000">
                <a:schemeClr val="accent4">
                  <a:lumMod val="60000"/>
                </a:schemeClr>
              </a:gs>
            </a:gsLst>
            <a:path path="circle">
              <a:fillToRect l="100000" b="100000"/>
            </a:path>
            <a:tileRect t="-100000" r="-10000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Pivot!$AC$6</c:f>
              <c:strCache>
                <c:ptCount val="1"/>
                <c:pt idx="0">
                  <c:v>Total</c:v>
                </c:pt>
              </c:strCache>
            </c:strRef>
          </c:tx>
          <c:spPr>
            <a:gradFill flip="none" rotWithShape="1">
              <a:gsLst>
                <a:gs pos="0">
                  <a:schemeClr val="accent4">
                    <a:lumMod val="40000"/>
                    <a:lumOff val="60000"/>
                  </a:schemeClr>
                </a:gs>
                <a:gs pos="46000">
                  <a:schemeClr val="accent4">
                    <a:lumMod val="95000"/>
                    <a:lumOff val="5000"/>
                  </a:schemeClr>
                </a:gs>
                <a:gs pos="100000">
                  <a:schemeClr val="accent4">
                    <a:lumMod val="60000"/>
                  </a:schemeClr>
                </a:gs>
              </a:gsLst>
              <a:path path="circle">
                <a:fillToRect l="100000" b="100000"/>
              </a:path>
              <a:tileRect t="-100000" r="-10000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Pivot!$AB$7:$AB$13</c:f>
              <c:strCache>
                <c:ptCount val="6"/>
                <c:pt idx="0">
                  <c:v>Bank Transfer</c:v>
                </c:pt>
                <c:pt idx="1">
                  <c:v>Cash</c:v>
                </c:pt>
                <c:pt idx="2">
                  <c:v>Credit Card</c:v>
                </c:pt>
                <c:pt idx="3">
                  <c:v>Debit Card</c:v>
                </c:pt>
                <c:pt idx="4">
                  <c:v>Net Banking</c:v>
                </c:pt>
                <c:pt idx="5">
                  <c:v>UPI</c:v>
                </c:pt>
              </c:strCache>
            </c:strRef>
          </c:cat>
          <c:val>
            <c:numRef>
              <c:f>Pivot!$AC$7:$AC$13</c:f>
              <c:numCache>
                <c:formatCode>[&gt;=1000000]"$"0.0,\ \,"M";[&gt;=1000]"$"0.0,"K";"$"0</c:formatCode>
                <c:ptCount val="6"/>
                <c:pt idx="0">
                  <c:v>201693</c:v>
                </c:pt>
                <c:pt idx="1">
                  <c:v>245907</c:v>
                </c:pt>
                <c:pt idx="2">
                  <c:v>401137</c:v>
                </c:pt>
                <c:pt idx="3">
                  <c:v>184166</c:v>
                </c:pt>
                <c:pt idx="4">
                  <c:v>261971</c:v>
                </c:pt>
                <c:pt idx="5">
                  <c:v>260621</c:v>
                </c:pt>
              </c:numCache>
            </c:numRef>
          </c:val>
          <c:extLst>
            <c:ext xmlns:c16="http://schemas.microsoft.com/office/drawing/2014/chart" uri="{C3380CC4-5D6E-409C-BE32-E72D297353CC}">
              <c16:uniqueId val="{00000000-CC14-4BD4-9D8B-810A74016F6B}"/>
            </c:ext>
          </c:extLst>
        </c:ser>
        <c:dLbls>
          <c:dLblPos val="outEnd"/>
          <c:showLegendKey val="0"/>
          <c:showVal val="1"/>
          <c:showCatName val="0"/>
          <c:showSerName val="0"/>
          <c:showPercent val="0"/>
          <c:showBubbleSize val="0"/>
        </c:dLbls>
        <c:gapWidth val="50"/>
        <c:axId val="1149933064"/>
        <c:axId val="1149932344"/>
      </c:barChart>
      <c:catAx>
        <c:axId val="1149933064"/>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solidFill>
                <a:latin typeface="+mn-lt"/>
                <a:ea typeface="+mn-ea"/>
                <a:cs typeface="+mn-cs"/>
              </a:defRPr>
            </a:pPr>
            <a:endParaRPr lang="en-US"/>
          </a:p>
        </c:txPr>
        <c:crossAx val="1149932344"/>
        <c:crosses val="autoZero"/>
        <c:auto val="1"/>
        <c:lblAlgn val="ctr"/>
        <c:lblOffset val="100"/>
        <c:noMultiLvlLbl val="0"/>
      </c:catAx>
      <c:valAx>
        <c:axId val="1149932344"/>
        <c:scaling>
          <c:orientation val="minMax"/>
        </c:scaling>
        <c:delete val="1"/>
        <c:axPos val="b"/>
        <c:majorGridlines>
          <c:spPr>
            <a:ln w="9525" cap="flat" cmpd="sng" algn="ctr">
              <a:solidFill>
                <a:schemeClr val="tx1">
                  <a:lumMod val="15000"/>
                  <a:lumOff val="85000"/>
                </a:schemeClr>
              </a:solidFill>
              <a:round/>
            </a:ln>
            <a:effectLst/>
          </c:spPr>
        </c:majorGridlines>
        <c:numFmt formatCode="[&gt;=1000000]&quot;$&quot;0.0,\ \,&quot;M&quot;;[&gt;=1000]&quot;$&quot;0.0,&quot;K&quot;;&quot;$&quot;0" sourceLinked="1"/>
        <c:majorTickMark val="out"/>
        <c:minorTickMark val="none"/>
        <c:tickLblPos val="nextTo"/>
        <c:crossAx val="114993306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title pos="t" align="ctr" overlay="0">
      <cx:tx>
        <cx:txData>
          <cx:v>Number of Transaction by Banks</cx:v>
        </cx:txData>
      </cx:tx>
      <cx:txPr>
        <a:bodyPr spcFirstLastPara="1" vertOverflow="ellipsis" horzOverflow="overflow" wrap="square" lIns="0" tIns="0" rIns="0" bIns="0" anchor="ctr" anchorCtr="1"/>
        <a:lstStyle/>
        <a:p>
          <a:pPr algn="ctr" rtl="0">
            <a:defRPr sz="2000">
              <a:solidFill>
                <a:srgbClr val="002060"/>
              </a:solidFill>
            </a:defRPr>
          </a:pPr>
          <a:r>
            <a:rPr lang="en-US" sz="2000" b="1" i="0" u="none" strike="noStrike" baseline="0">
              <a:solidFill>
                <a:srgbClr val="002060"/>
              </a:solidFill>
              <a:latin typeface="Aptos Narrow" panose="02110004020202020204"/>
            </a:rPr>
            <a:t>Number of Transaction by Banks</a:t>
          </a:r>
        </a:p>
      </cx:txPr>
    </cx:title>
    <cx:plotArea>
      <cx:plotAreaRegion>
        <cx:series layoutId="waterfall" uniqueId="{00000000-70ED-4501-B460-8F48F7423520}">
          <cx:dataLabels pos="outEnd">
            <cx:txPr>
              <a:bodyPr spcFirstLastPara="1" vertOverflow="ellipsis" horzOverflow="overflow" wrap="square" lIns="0" tIns="0" rIns="0" bIns="0" anchor="ctr" anchorCtr="1"/>
              <a:lstStyle/>
              <a:p>
                <a:pPr algn="ctr" rtl="0">
                  <a:defRPr sz="1200" b="1"/>
                </a:pPr>
                <a:endParaRPr lang="en-US" sz="1200" b="1" i="0" u="none" strike="noStrike" baseline="0">
                  <a:solidFill>
                    <a:sysClr val="windowText" lastClr="000000">
                      <a:lumMod val="65000"/>
                      <a:lumOff val="35000"/>
                    </a:sysClr>
                  </a:solidFill>
                  <a:latin typeface="Aptos Narrow" panose="02110004020202020204"/>
                </a:endParaRPr>
              </a:p>
            </cx:txPr>
            <cx:visibility seriesName="0" categoryName="0" value="1"/>
          </cx:dataLabels>
          <cx:dataId val="0"/>
          <cx:layoutPr>
            <cx:subtotals/>
          </cx:layoutPr>
        </cx:series>
      </cx:plotAreaRegion>
      <cx:axis id="0">
        <cx:catScaling gapWidth="0.5"/>
        <cx:tickLabels/>
        <cx:txPr>
          <a:bodyPr spcFirstLastPara="1" vertOverflow="ellipsis" horzOverflow="overflow" wrap="square" lIns="0" tIns="0" rIns="0" bIns="0" anchor="ctr" anchorCtr="1"/>
          <a:lstStyle/>
          <a:p>
            <a:pPr algn="ctr" rtl="0">
              <a:defRPr sz="1100" b="1">
                <a:solidFill>
                  <a:sysClr val="windowText" lastClr="000000"/>
                </a:solidFill>
              </a:defRPr>
            </a:pPr>
            <a:endParaRPr lang="en-US" sz="1100" b="1" i="0" u="none" strike="noStrike" baseline="0">
              <a:solidFill>
                <a:sysClr val="windowText" lastClr="000000"/>
              </a:solidFill>
              <a:latin typeface="Aptos Narrow" panose="02110004020202020204"/>
            </a:endParaRPr>
          </a:p>
        </cx:txPr>
      </cx:axis>
      <cx:axis id="1">
        <cx:valScaling/>
        <cx:majorGridlines/>
        <cx:tickLabels/>
      </cx:axis>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3.png"/><Relationship Id="rId18" Type="http://schemas.openxmlformats.org/officeDocument/2006/relationships/hyperlink" Target="#Dashboard!A1"/><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svg"/><Relationship Id="rId17" Type="http://schemas.openxmlformats.org/officeDocument/2006/relationships/chart" Target="../charts/chart3.xml"/><Relationship Id="rId2" Type="http://schemas.openxmlformats.org/officeDocument/2006/relationships/image" Target="../media/image2.svg"/><Relationship Id="rId16" Type="http://schemas.openxmlformats.org/officeDocument/2006/relationships/chart" Target="../charts/chart2.xml"/><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chart" Target="../charts/chart1.xml"/><Relationship Id="rId10" Type="http://schemas.openxmlformats.org/officeDocument/2006/relationships/image" Target="../media/image10.sv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s>
</file>

<file path=xl/drawings/_rels/drawing2.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3.png"/><Relationship Id="rId18" Type="http://schemas.microsoft.com/office/2014/relationships/chartEx" Target="../charts/chartEx1.xml"/><Relationship Id="rId3" Type="http://schemas.openxmlformats.org/officeDocument/2006/relationships/image" Target="../media/image3.png"/><Relationship Id="rId21" Type="http://schemas.openxmlformats.org/officeDocument/2006/relationships/chart" Target="../charts/chart9.xml"/><Relationship Id="rId7" Type="http://schemas.openxmlformats.org/officeDocument/2006/relationships/image" Target="../media/image7.png"/><Relationship Id="rId12" Type="http://schemas.openxmlformats.org/officeDocument/2006/relationships/image" Target="../media/image12.svg"/><Relationship Id="rId17" Type="http://schemas.openxmlformats.org/officeDocument/2006/relationships/chart" Target="../charts/chart6.xml"/><Relationship Id="rId2" Type="http://schemas.openxmlformats.org/officeDocument/2006/relationships/image" Target="../media/image2.svg"/><Relationship Id="rId16" Type="http://schemas.openxmlformats.org/officeDocument/2006/relationships/chart" Target="../charts/chart5.xml"/><Relationship Id="rId20" Type="http://schemas.openxmlformats.org/officeDocument/2006/relationships/chart" Target="../charts/chart8.xml"/><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chart" Target="../charts/chart4.xml"/><Relationship Id="rId10" Type="http://schemas.openxmlformats.org/officeDocument/2006/relationships/image" Target="../media/image10.svg"/><Relationship Id="rId19" Type="http://schemas.openxmlformats.org/officeDocument/2006/relationships/chart" Target="../charts/chart7.xml"/><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 Id="rId22"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34</xdr:col>
      <xdr:colOff>21770</xdr:colOff>
      <xdr:row>6</xdr:row>
      <xdr:rowOff>169817</xdr:rowOff>
    </xdr:to>
    <xdr:sp macro="" textlink="">
      <xdr:nvSpPr>
        <xdr:cNvPr id="2" name="Rectangle 1">
          <a:extLst>
            <a:ext uri="{FF2B5EF4-FFF2-40B4-BE49-F238E27FC236}">
              <a16:creationId xmlns:a16="http://schemas.microsoft.com/office/drawing/2014/main" id="{B291C5E3-C456-4B4A-83FF-6CB0A0618DC4}"/>
            </a:ext>
          </a:extLst>
        </xdr:cNvPr>
        <xdr:cNvSpPr/>
      </xdr:nvSpPr>
      <xdr:spPr>
        <a:xfrm>
          <a:off x="0" y="0"/>
          <a:ext cx="20748170" cy="1267097"/>
        </a:xfrm>
        <a:prstGeom prst="rect">
          <a:avLst/>
        </a:prstGeom>
        <a:solidFill>
          <a:srgbClr val="00206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65314</xdr:colOff>
      <xdr:row>0</xdr:row>
      <xdr:rowOff>174172</xdr:rowOff>
    </xdr:from>
    <xdr:to>
      <xdr:col>22</xdr:col>
      <xdr:colOff>461554</xdr:colOff>
      <xdr:row>4</xdr:row>
      <xdr:rowOff>74023</xdr:rowOff>
    </xdr:to>
    <xdr:sp macro="" textlink="">
      <xdr:nvSpPr>
        <xdr:cNvPr id="3" name="TextBox 2">
          <a:extLst>
            <a:ext uri="{FF2B5EF4-FFF2-40B4-BE49-F238E27FC236}">
              <a16:creationId xmlns:a16="http://schemas.microsoft.com/office/drawing/2014/main" id="{8ADA30AA-809E-4E94-9175-882C1F4C8AE7}"/>
            </a:ext>
          </a:extLst>
        </xdr:cNvPr>
        <xdr:cNvSpPr txBox="1"/>
      </xdr:nvSpPr>
      <xdr:spPr>
        <a:xfrm>
          <a:off x="5551714" y="174172"/>
          <a:ext cx="8321040" cy="6313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600" b="1">
              <a:solidFill>
                <a:schemeClr val="bg1"/>
              </a:solidFill>
            </a:rPr>
            <a:t>PERSONAL FINANCE DASHBOARD|FY 2026</a:t>
          </a:r>
          <a:endParaRPr lang="en-US" sz="6000" b="1">
            <a:solidFill>
              <a:schemeClr val="bg1"/>
            </a:solidFill>
          </a:endParaRPr>
        </a:p>
      </xdr:txBody>
    </xdr:sp>
    <xdr:clientData/>
  </xdr:twoCellAnchor>
  <xdr:twoCellAnchor>
    <xdr:from>
      <xdr:col>9</xdr:col>
      <xdr:colOff>268876</xdr:colOff>
      <xdr:row>3</xdr:row>
      <xdr:rowOff>140427</xdr:rowOff>
    </xdr:from>
    <xdr:to>
      <xdr:col>18</xdr:col>
      <xdr:colOff>131716</xdr:colOff>
      <xdr:row>5</xdr:row>
      <xdr:rowOff>170907</xdr:rowOff>
    </xdr:to>
    <xdr:sp macro="" textlink="">
      <xdr:nvSpPr>
        <xdr:cNvPr id="4" name="TextBox 3">
          <a:extLst>
            <a:ext uri="{FF2B5EF4-FFF2-40B4-BE49-F238E27FC236}">
              <a16:creationId xmlns:a16="http://schemas.microsoft.com/office/drawing/2014/main" id="{9B5D123E-3A11-406F-B47C-766AAD8C7E37}"/>
            </a:ext>
          </a:extLst>
        </xdr:cNvPr>
        <xdr:cNvSpPr txBox="1"/>
      </xdr:nvSpPr>
      <xdr:spPr>
        <a:xfrm>
          <a:off x="5755276" y="689067"/>
          <a:ext cx="5349240"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800" b="1">
              <a:solidFill>
                <a:schemeClr val="bg1"/>
              </a:solidFill>
            </a:rPr>
            <a:t>Track your</a:t>
          </a:r>
          <a:r>
            <a:rPr lang="en-US" sz="1800" b="1" baseline="0">
              <a:solidFill>
                <a:schemeClr val="bg1"/>
              </a:solidFill>
            </a:rPr>
            <a:t> income, Expensess, Savings &amp; Budget in one Place</a:t>
          </a:r>
          <a:endParaRPr lang="en-US" sz="2800" b="1">
            <a:solidFill>
              <a:schemeClr val="bg1"/>
            </a:solidFill>
          </a:endParaRPr>
        </a:p>
      </xdr:txBody>
    </xdr:sp>
    <xdr:clientData/>
  </xdr:twoCellAnchor>
  <xdr:twoCellAnchor>
    <xdr:from>
      <xdr:col>28</xdr:col>
      <xdr:colOff>239486</xdr:colOff>
      <xdr:row>7</xdr:row>
      <xdr:rowOff>21772</xdr:rowOff>
    </xdr:from>
    <xdr:to>
      <xdr:col>33</xdr:col>
      <xdr:colOff>391886</xdr:colOff>
      <xdr:row>17</xdr:row>
      <xdr:rowOff>1</xdr:rowOff>
    </xdr:to>
    <xdr:sp macro="" textlink="">
      <xdr:nvSpPr>
        <xdr:cNvPr id="5" name="Rectangle: Rounded Corners 4">
          <a:extLst>
            <a:ext uri="{FF2B5EF4-FFF2-40B4-BE49-F238E27FC236}">
              <a16:creationId xmlns:a16="http://schemas.microsoft.com/office/drawing/2014/main" id="{8FBFB882-360A-4757-BF68-9C0E6F1E8400}"/>
            </a:ext>
          </a:extLst>
        </xdr:cNvPr>
        <xdr:cNvSpPr/>
      </xdr:nvSpPr>
      <xdr:spPr>
        <a:xfrm>
          <a:off x="17308286" y="1301932"/>
          <a:ext cx="3200400" cy="1807029"/>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163285</xdr:colOff>
      <xdr:row>7</xdr:row>
      <xdr:rowOff>21770</xdr:rowOff>
    </xdr:from>
    <xdr:to>
      <xdr:col>5</xdr:col>
      <xdr:colOff>315685</xdr:colOff>
      <xdr:row>16</xdr:row>
      <xdr:rowOff>185056</xdr:rowOff>
    </xdr:to>
    <xdr:sp macro="" textlink="">
      <xdr:nvSpPr>
        <xdr:cNvPr id="6" name="Rectangle: Rounded Corners 5">
          <a:extLst>
            <a:ext uri="{FF2B5EF4-FFF2-40B4-BE49-F238E27FC236}">
              <a16:creationId xmlns:a16="http://schemas.microsoft.com/office/drawing/2014/main" id="{24618958-8972-4312-9981-E3041B7D9246}"/>
            </a:ext>
          </a:extLst>
        </xdr:cNvPr>
        <xdr:cNvSpPr/>
      </xdr:nvSpPr>
      <xdr:spPr>
        <a:xfrm>
          <a:off x="163285" y="1301930"/>
          <a:ext cx="3200400" cy="1809206"/>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522515</xdr:colOff>
      <xdr:row>7</xdr:row>
      <xdr:rowOff>43542</xdr:rowOff>
    </xdr:from>
    <xdr:to>
      <xdr:col>11</xdr:col>
      <xdr:colOff>65315</xdr:colOff>
      <xdr:row>17</xdr:row>
      <xdr:rowOff>21771</xdr:rowOff>
    </xdr:to>
    <xdr:sp macro="" textlink="">
      <xdr:nvSpPr>
        <xdr:cNvPr id="7" name="Rectangle: Rounded Corners 6">
          <a:extLst>
            <a:ext uri="{FF2B5EF4-FFF2-40B4-BE49-F238E27FC236}">
              <a16:creationId xmlns:a16="http://schemas.microsoft.com/office/drawing/2014/main" id="{D355BAD6-3D67-4105-A190-C817E344C0CD}"/>
            </a:ext>
          </a:extLst>
        </xdr:cNvPr>
        <xdr:cNvSpPr/>
      </xdr:nvSpPr>
      <xdr:spPr>
        <a:xfrm>
          <a:off x="3570515" y="1323702"/>
          <a:ext cx="3200400" cy="1807029"/>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315686</xdr:colOff>
      <xdr:row>7</xdr:row>
      <xdr:rowOff>32656</xdr:rowOff>
    </xdr:from>
    <xdr:to>
      <xdr:col>16</xdr:col>
      <xdr:colOff>468086</xdr:colOff>
      <xdr:row>17</xdr:row>
      <xdr:rowOff>10885</xdr:rowOff>
    </xdr:to>
    <xdr:sp macro="" textlink="">
      <xdr:nvSpPr>
        <xdr:cNvPr id="8" name="Rectangle: Rounded Corners 7">
          <a:extLst>
            <a:ext uri="{FF2B5EF4-FFF2-40B4-BE49-F238E27FC236}">
              <a16:creationId xmlns:a16="http://schemas.microsoft.com/office/drawing/2014/main" id="{0C038A21-72BF-41CB-A449-0CC8DF621D5E}"/>
            </a:ext>
          </a:extLst>
        </xdr:cNvPr>
        <xdr:cNvSpPr/>
      </xdr:nvSpPr>
      <xdr:spPr>
        <a:xfrm>
          <a:off x="7021286" y="1312816"/>
          <a:ext cx="3200400" cy="1807029"/>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65312</xdr:colOff>
      <xdr:row>7</xdr:row>
      <xdr:rowOff>43544</xdr:rowOff>
    </xdr:from>
    <xdr:to>
      <xdr:col>22</xdr:col>
      <xdr:colOff>217712</xdr:colOff>
      <xdr:row>17</xdr:row>
      <xdr:rowOff>21773</xdr:rowOff>
    </xdr:to>
    <xdr:sp macro="" textlink="">
      <xdr:nvSpPr>
        <xdr:cNvPr id="9" name="Rectangle: Rounded Corners 8">
          <a:extLst>
            <a:ext uri="{FF2B5EF4-FFF2-40B4-BE49-F238E27FC236}">
              <a16:creationId xmlns:a16="http://schemas.microsoft.com/office/drawing/2014/main" id="{A9F6814A-34C4-45FD-956F-3C82CAB1B234}"/>
            </a:ext>
          </a:extLst>
        </xdr:cNvPr>
        <xdr:cNvSpPr/>
      </xdr:nvSpPr>
      <xdr:spPr>
        <a:xfrm>
          <a:off x="10428512" y="1323704"/>
          <a:ext cx="3200400" cy="1807029"/>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22</xdr:col>
      <xdr:colOff>478970</xdr:colOff>
      <xdr:row>7</xdr:row>
      <xdr:rowOff>43543</xdr:rowOff>
    </xdr:from>
    <xdr:to>
      <xdr:col>28</xdr:col>
      <xdr:colOff>21770</xdr:colOff>
      <xdr:row>17</xdr:row>
      <xdr:rowOff>21772</xdr:rowOff>
    </xdr:to>
    <xdr:sp macro="" textlink="">
      <xdr:nvSpPr>
        <xdr:cNvPr id="10" name="Rectangle: Rounded Corners 9">
          <a:extLst>
            <a:ext uri="{FF2B5EF4-FFF2-40B4-BE49-F238E27FC236}">
              <a16:creationId xmlns:a16="http://schemas.microsoft.com/office/drawing/2014/main" id="{E11752F6-54AD-45A6-8EF4-FB132C94E35B}"/>
            </a:ext>
          </a:extLst>
        </xdr:cNvPr>
        <xdr:cNvSpPr/>
      </xdr:nvSpPr>
      <xdr:spPr>
        <a:xfrm>
          <a:off x="13890170" y="1323703"/>
          <a:ext cx="3200400" cy="1807029"/>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511629</xdr:colOff>
      <xdr:row>7</xdr:row>
      <xdr:rowOff>130629</xdr:rowOff>
    </xdr:from>
    <xdr:to>
      <xdr:col>4</xdr:col>
      <xdr:colOff>435429</xdr:colOff>
      <xdr:row>10</xdr:row>
      <xdr:rowOff>141515</xdr:rowOff>
    </xdr:to>
    <xdr:sp macro="" textlink="">
      <xdr:nvSpPr>
        <xdr:cNvPr id="11" name="TextBox 10">
          <a:extLst>
            <a:ext uri="{FF2B5EF4-FFF2-40B4-BE49-F238E27FC236}">
              <a16:creationId xmlns:a16="http://schemas.microsoft.com/office/drawing/2014/main" id="{FB931688-26A9-4E82-A315-9438F8FACA6E}"/>
            </a:ext>
          </a:extLst>
        </xdr:cNvPr>
        <xdr:cNvSpPr txBox="1"/>
      </xdr:nvSpPr>
      <xdr:spPr>
        <a:xfrm>
          <a:off x="511629" y="1410789"/>
          <a:ext cx="2362200" cy="5595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t>Total Income</a:t>
          </a:r>
          <a:endParaRPr lang="en-US" sz="1100" b="1"/>
        </a:p>
      </xdr:txBody>
    </xdr:sp>
    <xdr:clientData/>
  </xdr:twoCellAnchor>
  <xdr:twoCellAnchor>
    <xdr:from>
      <xdr:col>6</xdr:col>
      <xdr:colOff>304801</xdr:colOff>
      <xdr:row>7</xdr:row>
      <xdr:rowOff>119742</xdr:rowOff>
    </xdr:from>
    <xdr:to>
      <xdr:col>10</xdr:col>
      <xdr:colOff>228601</xdr:colOff>
      <xdr:row>10</xdr:row>
      <xdr:rowOff>130628</xdr:rowOff>
    </xdr:to>
    <xdr:sp macro="" textlink="">
      <xdr:nvSpPr>
        <xdr:cNvPr id="12" name="TextBox 11">
          <a:extLst>
            <a:ext uri="{FF2B5EF4-FFF2-40B4-BE49-F238E27FC236}">
              <a16:creationId xmlns:a16="http://schemas.microsoft.com/office/drawing/2014/main" id="{F8AEB380-F976-4A7A-8468-242A8C2160F4}"/>
            </a:ext>
          </a:extLst>
        </xdr:cNvPr>
        <xdr:cNvSpPr txBox="1"/>
      </xdr:nvSpPr>
      <xdr:spPr>
        <a:xfrm>
          <a:off x="3962401" y="1399902"/>
          <a:ext cx="2362200" cy="5595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t>Total Expensess</a:t>
          </a:r>
          <a:endParaRPr lang="en-US" sz="1100" b="1"/>
        </a:p>
      </xdr:txBody>
    </xdr:sp>
    <xdr:clientData/>
  </xdr:twoCellAnchor>
  <xdr:twoCellAnchor>
    <xdr:from>
      <xdr:col>12</xdr:col>
      <xdr:colOff>119744</xdr:colOff>
      <xdr:row>7</xdr:row>
      <xdr:rowOff>97970</xdr:rowOff>
    </xdr:from>
    <xdr:to>
      <xdr:col>16</xdr:col>
      <xdr:colOff>43544</xdr:colOff>
      <xdr:row>10</xdr:row>
      <xdr:rowOff>108856</xdr:rowOff>
    </xdr:to>
    <xdr:sp macro="" textlink="">
      <xdr:nvSpPr>
        <xdr:cNvPr id="13" name="TextBox 12">
          <a:extLst>
            <a:ext uri="{FF2B5EF4-FFF2-40B4-BE49-F238E27FC236}">
              <a16:creationId xmlns:a16="http://schemas.microsoft.com/office/drawing/2014/main" id="{F3B306FC-784A-48A6-9220-9B173B862867}"/>
            </a:ext>
          </a:extLst>
        </xdr:cNvPr>
        <xdr:cNvSpPr txBox="1"/>
      </xdr:nvSpPr>
      <xdr:spPr>
        <a:xfrm>
          <a:off x="7434944" y="1378130"/>
          <a:ext cx="2362200" cy="5595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t>Net</a:t>
          </a:r>
          <a:r>
            <a:rPr lang="en-US" sz="2400" b="1" baseline="0"/>
            <a:t> Savings</a:t>
          </a:r>
          <a:endParaRPr lang="en-US" sz="1100" b="1"/>
        </a:p>
      </xdr:txBody>
    </xdr:sp>
    <xdr:clientData/>
  </xdr:twoCellAnchor>
  <xdr:twoCellAnchor>
    <xdr:from>
      <xdr:col>17</xdr:col>
      <xdr:colOff>544284</xdr:colOff>
      <xdr:row>7</xdr:row>
      <xdr:rowOff>141515</xdr:rowOff>
    </xdr:from>
    <xdr:to>
      <xdr:col>21</xdr:col>
      <xdr:colOff>468084</xdr:colOff>
      <xdr:row>10</xdr:row>
      <xdr:rowOff>152401</xdr:rowOff>
    </xdr:to>
    <xdr:sp macro="" textlink="">
      <xdr:nvSpPr>
        <xdr:cNvPr id="14" name="TextBox 13">
          <a:extLst>
            <a:ext uri="{FF2B5EF4-FFF2-40B4-BE49-F238E27FC236}">
              <a16:creationId xmlns:a16="http://schemas.microsoft.com/office/drawing/2014/main" id="{59EDAEE0-FED6-413E-81FD-A66C84A66A72}"/>
            </a:ext>
          </a:extLst>
        </xdr:cNvPr>
        <xdr:cNvSpPr txBox="1"/>
      </xdr:nvSpPr>
      <xdr:spPr>
        <a:xfrm>
          <a:off x="10907484" y="1421675"/>
          <a:ext cx="2362200" cy="5595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t>Savings</a:t>
          </a:r>
          <a:r>
            <a:rPr lang="en-US" sz="2400" b="1" baseline="0"/>
            <a:t> Rate</a:t>
          </a:r>
          <a:endParaRPr lang="en-US" sz="1100" b="1"/>
        </a:p>
      </xdr:txBody>
    </xdr:sp>
    <xdr:clientData/>
  </xdr:twoCellAnchor>
  <xdr:twoCellAnchor>
    <xdr:from>
      <xdr:col>23</xdr:col>
      <xdr:colOff>239485</xdr:colOff>
      <xdr:row>7</xdr:row>
      <xdr:rowOff>152400</xdr:rowOff>
    </xdr:from>
    <xdr:to>
      <xdr:col>27</xdr:col>
      <xdr:colOff>163285</xdr:colOff>
      <xdr:row>10</xdr:row>
      <xdr:rowOff>163286</xdr:rowOff>
    </xdr:to>
    <xdr:sp macro="" textlink="">
      <xdr:nvSpPr>
        <xdr:cNvPr id="15" name="TextBox 14">
          <a:extLst>
            <a:ext uri="{FF2B5EF4-FFF2-40B4-BE49-F238E27FC236}">
              <a16:creationId xmlns:a16="http://schemas.microsoft.com/office/drawing/2014/main" id="{7D43D2D8-5E08-4137-9E35-4BAC6CB25D54}"/>
            </a:ext>
          </a:extLst>
        </xdr:cNvPr>
        <xdr:cNvSpPr txBox="1"/>
      </xdr:nvSpPr>
      <xdr:spPr>
        <a:xfrm>
          <a:off x="14260285" y="1432560"/>
          <a:ext cx="2362200" cy="5595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t>Budgut</a:t>
          </a:r>
          <a:r>
            <a:rPr lang="en-US" sz="2000" b="1" baseline="0"/>
            <a:t> Utilization</a:t>
          </a:r>
          <a:endParaRPr lang="en-US" sz="1050" b="1"/>
        </a:p>
      </xdr:txBody>
    </xdr:sp>
    <xdr:clientData/>
  </xdr:twoCellAnchor>
  <xdr:twoCellAnchor>
    <xdr:from>
      <xdr:col>29</xdr:col>
      <xdr:colOff>43544</xdr:colOff>
      <xdr:row>7</xdr:row>
      <xdr:rowOff>108857</xdr:rowOff>
    </xdr:from>
    <xdr:to>
      <xdr:col>32</xdr:col>
      <xdr:colOff>576944</xdr:colOff>
      <xdr:row>10</xdr:row>
      <xdr:rowOff>119743</xdr:rowOff>
    </xdr:to>
    <xdr:sp macro="" textlink="">
      <xdr:nvSpPr>
        <xdr:cNvPr id="16" name="TextBox 15">
          <a:extLst>
            <a:ext uri="{FF2B5EF4-FFF2-40B4-BE49-F238E27FC236}">
              <a16:creationId xmlns:a16="http://schemas.microsoft.com/office/drawing/2014/main" id="{46AEEBD5-CDA3-45BB-B89A-CEB5851621CC}"/>
            </a:ext>
          </a:extLst>
        </xdr:cNvPr>
        <xdr:cNvSpPr txBox="1"/>
      </xdr:nvSpPr>
      <xdr:spPr>
        <a:xfrm>
          <a:off x="17721944" y="1389017"/>
          <a:ext cx="2362200" cy="5595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t>Current</a:t>
          </a:r>
          <a:r>
            <a:rPr lang="en-US" sz="2400" b="1" baseline="0"/>
            <a:t> Balance</a:t>
          </a:r>
          <a:endParaRPr lang="en-US" sz="1100" b="1"/>
        </a:p>
      </xdr:txBody>
    </xdr:sp>
    <xdr:clientData/>
  </xdr:twoCellAnchor>
  <xdr:twoCellAnchor editAs="oneCell">
    <xdr:from>
      <xdr:col>0</xdr:col>
      <xdr:colOff>239486</xdr:colOff>
      <xdr:row>10</xdr:row>
      <xdr:rowOff>141514</xdr:rowOff>
    </xdr:from>
    <xdr:to>
      <xdr:col>1</xdr:col>
      <xdr:colOff>435429</xdr:colOff>
      <xdr:row>15</xdr:row>
      <xdr:rowOff>21772</xdr:rowOff>
    </xdr:to>
    <xdr:pic>
      <xdr:nvPicPr>
        <xdr:cNvPr id="17" name="Graphic 16" descr="Coins with solid fill">
          <a:extLst>
            <a:ext uri="{FF2B5EF4-FFF2-40B4-BE49-F238E27FC236}">
              <a16:creationId xmlns:a16="http://schemas.microsoft.com/office/drawing/2014/main" id="{DFBDA05B-B236-48F7-AA3D-7B3289278D5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39486" y="1970314"/>
          <a:ext cx="805543" cy="794658"/>
        </a:xfrm>
        <a:prstGeom prst="rect">
          <a:avLst/>
        </a:prstGeom>
      </xdr:spPr>
    </xdr:pic>
    <xdr:clientData/>
  </xdr:twoCellAnchor>
  <xdr:twoCellAnchor editAs="oneCell">
    <xdr:from>
      <xdr:col>5</xdr:col>
      <xdr:colOff>555172</xdr:colOff>
      <xdr:row>10</xdr:row>
      <xdr:rowOff>130629</xdr:rowOff>
    </xdr:from>
    <xdr:to>
      <xdr:col>7</xdr:col>
      <xdr:colOff>195943</xdr:colOff>
      <xdr:row>15</xdr:row>
      <xdr:rowOff>43543</xdr:rowOff>
    </xdr:to>
    <xdr:pic>
      <xdr:nvPicPr>
        <xdr:cNvPr id="18" name="Graphic 17" descr="Bank with solid fill">
          <a:extLst>
            <a:ext uri="{FF2B5EF4-FFF2-40B4-BE49-F238E27FC236}">
              <a16:creationId xmlns:a16="http://schemas.microsoft.com/office/drawing/2014/main" id="{6E736CA2-FF25-4318-9226-ED0D3D0DA8DF}"/>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3603172" y="1959429"/>
          <a:ext cx="859971" cy="827314"/>
        </a:xfrm>
        <a:prstGeom prst="rect">
          <a:avLst/>
        </a:prstGeom>
      </xdr:spPr>
    </xdr:pic>
    <xdr:clientData/>
  </xdr:twoCellAnchor>
  <xdr:twoCellAnchor editAs="oneCell">
    <xdr:from>
      <xdr:col>11</xdr:col>
      <xdr:colOff>424543</xdr:colOff>
      <xdr:row>10</xdr:row>
      <xdr:rowOff>152401</xdr:rowOff>
    </xdr:from>
    <xdr:to>
      <xdr:col>13</xdr:col>
      <xdr:colOff>43543</xdr:colOff>
      <xdr:row>15</xdr:row>
      <xdr:rowOff>32658</xdr:rowOff>
    </xdr:to>
    <xdr:pic>
      <xdr:nvPicPr>
        <xdr:cNvPr id="19" name="Graphic 18" descr="Money with solid fill">
          <a:extLst>
            <a:ext uri="{FF2B5EF4-FFF2-40B4-BE49-F238E27FC236}">
              <a16:creationId xmlns:a16="http://schemas.microsoft.com/office/drawing/2014/main" id="{06290C1E-9328-4477-A438-DB3E76F22FE7}"/>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7130143" y="1981201"/>
          <a:ext cx="838200" cy="794657"/>
        </a:xfrm>
        <a:prstGeom prst="rect">
          <a:avLst/>
        </a:prstGeom>
      </xdr:spPr>
    </xdr:pic>
    <xdr:clientData/>
  </xdr:twoCellAnchor>
  <xdr:twoCellAnchor editAs="oneCell">
    <xdr:from>
      <xdr:col>17</xdr:col>
      <xdr:colOff>130629</xdr:colOff>
      <xdr:row>10</xdr:row>
      <xdr:rowOff>174172</xdr:rowOff>
    </xdr:from>
    <xdr:to>
      <xdr:col>18</xdr:col>
      <xdr:colOff>370115</xdr:colOff>
      <xdr:row>15</xdr:row>
      <xdr:rowOff>87086</xdr:rowOff>
    </xdr:to>
    <xdr:pic>
      <xdr:nvPicPr>
        <xdr:cNvPr id="20" name="Graphic 19" descr="Bar chart with solid fill">
          <a:extLst>
            <a:ext uri="{FF2B5EF4-FFF2-40B4-BE49-F238E27FC236}">
              <a16:creationId xmlns:a16="http://schemas.microsoft.com/office/drawing/2014/main" id="{9AEA471E-FC47-45B1-B1B1-F038B4F3F80B}"/>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0493829" y="2002972"/>
          <a:ext cx="849086" cy="827314"/>
        </a:xfrm>
        <a:prstGeom prst="rect">
          <a:avLst/>
        </a:prstGeom>
      </xdr:spPr>
    </xdr:pic>
    <xdr:clientData/>
  </xdr:twoCellAnchor>
  <xdr:twoCellAnchor editAs="oneCell">
    <xdr:from>
      <xdr:col>28</xdr:col>
      <xdr:colOff>163286</xdr:colOff>
      <xdr:row>11</xdr:row>
      <xdr:rowOff>0</xdr:rowOff>
    </xdr:from>
    <xdr:to>
      <xdr:col>29</xdr:col>
      <xdr:colOff>391886</xdr:colOff>
      <xdr:row>15</xdr:row>
      <xdr:rowOff>87086</xdr:rowOff>
    </xdr:to>
    <xdr:pic>
      <xdr:nvPicPr>
        <xdr:cNvPr id="21" name="Graphic 20" descr="Hourglass Finished with solid fill">
          <a:extLst>
            <a:ext uri="{FF2B5EF4-FFF2-40B4-BE49-F238E27FC236}">
              <a16:creationId xmlns:a16="http://schemas.microsoft.com/office/drawing/2014/main" id="{D210691A-179E-477F-AD04-3DF16CFCFE2F}"/>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7232086" y="2011680"/>
          <a:ext cx="838200" cy="818606"/>
        </a:xfrm>
        <a:prstGeom prst="rect">
          <a:avLst/>
        </a:prstGeom>
      </xdr:spPr>
    </xdr:pic>
    <xdr:clientData/>
  </xdr:twoCellAnchor>
  <xdr:twoCellAnchor editAs="oneCell">
    <xdr:from>
      <xdr:col>22</xdr:col>
      <xdr:colOff>313286</xdr:colOff>
      <xdr:row>0</xdr:row>
      <xdr:rowOff>130629</xdr:rowOff>
    </xdr:from>
    <xdr:to>
      <xdr:col>24</xdr:col>
      <xdr:colOff>99926</xdr:colOff>
      <xdr:row>6</xdr:row>
      <xdr:rowOff>26126</xdr:rowOff>
    </xdr:to>
    <xdr:pic>
      <xdr:nvPicPr>
        <xdr:cNvPr id="22" name="Graphic 21" descr="Arrow circle with solid fill">
          <a:extLst>
            <a:ext uri="{FF2B5EF4-FFF2-40B4-BE49-F238E27FC236}">
              <a16:creationId xmlns:a16="http://schemas.microsoft.com/office/drawing/2014/main" id="{873E4BA3-B443-42C1-8A9C-CE786A5627C6}"/>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3724486" y="130629"/>
          <a:ext cx="1005840" cy="992777"/>
        </a:xfrm>
        <a:prstGeom prst="rect">
          <a:avLst/>
        </a:prstGeom>
      </xdr:spPr>
    </xdr:pic>
    <xdr:clientData/>
  </xdr:twoCellAnchor>
  <xdr:twoCellAnchor editAs="oneCell">
    <xdr:from>
      <xdr:col>22</xdr:col>
      <xdr:colOff>489857</xdr:colOff>
      <xdr:row>11</xdr:row>
      <xdr:rowOff>32657</xdr:rowOff>
    </xdr:from>
    <xdr:to>
      <xdr:col>24</xdr:col>
      <xdr:colOff>130628</xdr:colOff>
      <xdr:row>15</xdr:row>
      <xdr:rowOff>130629</xdr:rowOff>
    </xdr:to>
    <xdr:pic>
      <xdr:nvPicPr>
        <xdr:cNvPr id="23" name="Graphic 22" descr="Pie chart with solid fill">
          <a:extLst>
            <a:ext uri="{FF2B5EF4-FFF2-40B4-BE49-F238E27FC236}">
              <a16:creationId xmlns:a16="http://schemas.microsoft.com/office/drawing/2014/main" id="{5DBD75D6-2BB6-47CB-A24C-3FA67A92B539}"/>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3901057" y="2044337"/>
          <a:ext cx="859971" cy="829492"/>
        </a:xfrm>
        <a:prstGeom prst="rect">
          <a:avLst/>
        </a:prstGeom>
      </xdr:spPr>
    </xdr:pic>
    <xdr:clientData/>
  </xdr:twoCellAnchor>
  <xdr:twoCellAnchor>
    <xdr:from>
      <xdr:col>1</xdr:col>
      <xdr:colOff>380999</xdr:colOff>
      <xdr:row>11</xdr:row>
      <xdr:rowOff>119741</xdr:rowOff>
    </xdr:from>
    <xdr:to>
      <xdr:col>5</xdr:col>
      <xdr:colOff>119742</xdr:colOff>
      <xdr:row>14</xdr:row>
      <xdr:rowOff>130627</xdr:rowOff>
    </xdr:to>
    <xdr:sp macro="" textlink="Pivot!C10">
      <xdr:nvSpPr>
        <xdr:cNvPr id="24" name="TextBox 23">
          <a:extLst>
            <a:ext uri="{FF2B5EF4-FFF2-40B4-BE49-F238E27FC236}">
              <a16:creationId xmlns:a16="http://schemas.microsoft.com/office/drawing/2014/main" id="{DA01CC82-D7AA-44CD-80B1-E84A61CB3ACE}"/>
            </a:ext>
          </a:extLst>
        </xdr:cNvPr>
        <xdr:cNvSpPr txBox="1"/>
      </xdr:nvSpPr>
      <xdr:spPr>
        <a:xfrm>
          <a:off x="990599" y="2131421"/>
          <a:ext cx="2177143" cy="5595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4D4027F-9D9E-4115-A99C-6771ABD28B1F}" type="TxLink">
            <a:rPr lang="en-US" sz="2800" b="1" i="0" u="none" strike="noStrike">
              <a:solidFill>
                <a:srgbClr val="0070C0"/>
              </a:solidFill>
              <a:latin typeface="Aptos Narrow"/>
              <a:ea typeface="+mn-ea"/>
              <a:cs typeface="+mn-cs"/>
            </a:rPr>
            <a:pPr marL="0" indent="0" algn="ctr"/>
            <a:t>$1,550K</a:t>
          </a:fld>
          <a:endParaRPr lang="en-US" sz="2800" b="1" i="0" u="none" strike="noStrike">
            <a:solidFill>
              <a:srgbClr val="0070C0"/>
            </a:solidFill>
            <a:latin typeface="Aptos Narrow"/>
            <a:ea typeface="+mn-ea"/>
            <a:cs typeface="+mn-cs"/>
          </a:endParaRPr>
        </a:p>
      </xdr:txBody>
    </xdr:sp>
    <xdr:clientData/>
  </xdr:twoCellAnchor>
  <xdr:twoCellAnchor>
    <xdr:from>
      <xdr:col>7</xdr:col>
      <xdr:colOff>217715</xdr:colOff>
      <xdr:row>11</xdr:row>
      <xdr:rowOff>141514</xdr:rowOff>
    </xdr:from>
    <xdr:to>
      <xdr:col>10</xdr:col>
      <xdr:colOff>370115</xdr:colOff>
      <xdr:row>14</xdr:row>
      <xdr:rowOff>152400</xdr:rowOff>
    </xdr:to>
    <xdr:sp macro="" textlink="Pivot!C11">
      <xdr:nvSpPr>
        <xdr:cNvPr id="25" name="TextBox 24">
          <a:extLst>
            <a:ext uri="{FF2B5EF4-FFF2-40B4-BE49-F238E27FC236}">
              <a16:creationId xmlns:a16="http://schemas.microsoft.com/office/drawing/2014/main" id="{875DB840-4BA3-4DE7-9598-9D2E3757BB26}"/>
            </a:ext>
          </a:extLst>
        </xdr:cNvPr>
        <xdr:cNvSpPr txBox="1"/>
      </xdr:nvSpPr>
      <xdr:spPr>
        <a:xfrm>
          <a:off x="4484915" y="2153194"/>
          <a:ext cx="1981200" cy="5595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242537B-CD2B-4189-92E6-39625D205254}" type="TxLink">
            <a:rPr lang="en-US" sz="2800" b="1" i="0" u="none" strike="noStrike">
              <a:solidFill>
                <a:srgbClr val="0070C0"/>
              </a:solidFill>
              <a:latin typeface="Aptos Narrow"/>
              <a:ea typeface="+mn-ea"/>
              <a:cs typeface="+mn-cs"/>
            </a:rPr>
            <a:pPr marL="0" indent="0" algn="ctr"/>
            <a:t>$1,555K</a:t>
          </a:fld>
          <a:endParaRPr lang="en-US" sz="2800" b="1" i="0" u="none" strike="noStrike">
            <a:solidFill>
              <a:srgbClr val="0070C0"/>
            </a:solidFill>
            <a:latin typeface="Aptos Narrow"/>
            <a:ea typeface="+mn-ea"/>
            <a:cs typeface="+mn-cs"/>
          </a:endParaRPr>
        </a:p>
      </xdr:txBody>
    </xdr:sp>
    <xdr:clientData/>
  </xdr:twoCellAnchor>
  <xdr:twoCellAnchor>
    <xdr:from>
      <xdr:col>12</xdr:col>
      <xdr:colOff>533400</xdr:colOff>
      <xdr:row>11</xdr:row>
      <xdr:rowOff>130629</xdr:rowOff>
    </xdr:from>
    <xdr:to>
      <xdr:col>16</xdr:col>
      <xdr:colOff>163286</xdr:colOff>
      <xdr:row>14</xdr:row>
      <xdr:rowOff>141515</xdr:rowOff>
    </xdr:to>
    <xdr:sp macro="" textlink="Pivot!C12">
      <xdr:nvSpPr>
        <xdr:cNvPr id="26" name="TextBox 25">
          <a:extLst>
            <a:ext uri="{FF2B5EF4-FFF2-40B4-BE49-F238E27FC236}">
              <a16:creationId xmlns:a16="http://schemas.microsoft.com/office/drawing/2014/main" id="{18405F10-06C6-4A36-BD6C-41CAD5AD6DC3}"/>
            </a:ext>
          </a:extLst>
        </xdr:cNvPr>
        <xdr:cNvSpPr txBox="1"/>
      </xdr:nvSpPr>
      <xdr:spPr>
        <a:xfrm>
          <a:off x="7848600" y="2142309"/>
          <a:ext cx="2068286" cy="5595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8EDF6B6-1F39-4A48-86CF-B90C81D959EA}" type="TxLink">
            <a:rPr lang="en-US" sz="2800" b="1" i="0" u="none" strike="noStrike">
              <a:solidFill>
                <a:srgbClr val="0070C0"/>
              </a:solidFill>
              <a:latin typeface="Aptos Narrow"/>
              <a:ea typeface="+mn-ea"/>
              <a:cs typeface="+mn-cs"/>
            </a:rPr>
            <a:pPr marL="0" indent="0" algn="ctr"/>
            <a:t>-$5295</a:t>
          </a:fld>
          <a:endParaRPr lang="en-US" sz="2800" b="1" i="0" u="none" strike="noStrike">
            <a:solidFill>
              <a:srgbClr val="0070C0"/>
            </a:solidFill>
            <a:latin typeface="Aptos Narrow"/>
            <a:ea typeface="+mn-ea"/>
            <a:cs typeface="+mn-cs"/>
          </a:endParaRPr>
        </a:p>
      </xdr:txBody>
    </xdr:sp>
    <xdr:clientData/>
  </xdr:twoCellAnchor>
  <xdr:twoCellAnchor>
    <xdr:from>
      <xdr:col>18</xdr:col>
      <xdr:colOff>424542</xdr:colOff>
      <xdr:row>11</xdr:row>
      <xdr:rowOff>141515</xdr:rowOff>
    </xdr:from>
    <xdr:to>
      <xdr:col>21</xdr:col>
      <xdr:colOff>511629</xdr:colOff>
      <xdr:row>14</xdr:row>
      <xdr:rowOff>152401</xdr:rowOff>
    </xdr:to>
    <xdr:sp macro="" textlink="Pivot!C13">
      <xdr:nvSpPr>
        <xdr:cNvPr id="27" name="TextBox 26">
          <a:extLst>
            <a:ext uri="{FF2B5EF4-FFF2-40B4-BE49-F238E27FC236}">
              <a16:creationId xmlns:a16="http://schemas.microsoft.com/office/drawing/2014/main" id="{F96D91CA-54AA-493C-A7FE-E06EF2DEA788}"/>
            </a:ext>
          </a:extLst>
        </xdr:cNvPr>
        <xdr:cNvSpPr txBox="1"/>
      </xdr:nvSpPr>
      <xdr:spPr>
        <a:xfrm>
          <a:off x="11397342" y="2153195"/>
          <a:ext cx="1915887" cy="5595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F6EFB20-6391-4D29-9905-9660A4D02F3C}" type="TxLink">
            <a:rPr lang="en-US" sz="2800" b="1" i="0" u="none" strike="noStrike">
              <a:solidFill>
                <a:srgbClr val="0070C0"/>
              </a:solidFill>
              <a:latin typeface="Aptos Narrow"/>
              <a:ea typeface="+mn-ea"/>
              <a:cs typeface="+mn-cs"/>
            </a:rPr>
            <a:pPr marL="0" indent="0" algn="ctr"/>
            <a:t>-0.34%</a:t>
          </a:fld>
          <a:endParaRPr lang="en-US" sz="2800" b="1" i="0" u="none" strike="noStrike">
            <a:solidFill>
              <a:srgbClr val="0070C0"/>
            </a:solidFill>
            <a:latin typeface="Aptos Narrow"/>
            <a:ea typeface="+mn-ea"/>
            <a:cs typeface="+mn-cs"/>
          </a:endParaRPr>
        </a:p>
      </xdr:txBody>
    </xdr:sp>
    <xdr:clientData/>
  </xdr:twoCellAnchor>
  <xdr:twoCellAnchor>
    <xdr:from>
      <xdr:col>24</xdr:col>
      <xdr:colOff>261258</xdr:colOff>
      <xdr:row>11</xdr:row>
      <xdr:rowOff>163285</xdr:rowOff>
    </xdr:from>
    <xdr:to>
      <xdr:col>27</xdr:col>
      <xdr:colOff>304802</xdr:colOff>
      <xdr:row>14</xdr:row>
      <xdr:rowOff>174171</xdr:rowOff>
    </xdr:to>
    <xdr:sp macro="" textlink="Pivot!C14">
      <xdr:nvSpPr>
        <xdr:cNvPr id="28" name="TextBox 27">
          <a:extLst>
            <a:ext uri="{FF2B5EF4-FFF2-40B4-BE49-F238E27FC236}">
              <a16:creationId xmlns:a16="http://schemas.microsoft.com/office/drawing/2014/main" id="{309E747D-3C77-47EF-B1AE-6B9BFEA073D3}"/>
            </a:ext>
          </a:extLst>
        </xdr:cNvPr>
        <xdr:cNvSpPr txBox="1"/>
      </xdr:nvSpPr>
      <xdr:spPr>
        <a:xfrm>
          <a:off x="14891658" y="2174965"/>
          <a:ext cx="1872344" cy="5595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E214E04-BE49-42FA-9A34-78FE3D1158BF}" type="TxLink">
            <a:rPr lang="en-US" sz="2800" b="1" i="0" u="none" strike="noStrike">
              <a:solidFill>
                <a:srgbClr val="0070C0"/>
              </a:solidFill>
              <a:latin typeface="Aptos Narrow"/>
              <a:ea typeface="+mn-ea"/>
              <a:cs typeface="+mn-cs"/>
            </a:rPr>
            <a:pPr marL="0" indent="0" algn="ctr"/>
            <a:t>149%</a:t>
          </a:fld>
          <a:endParaRPr lang="en-US" sz="2800" b="1" i="0" u="none" strike="noStrike">
            <a:solidFill>
              <a:srgbClr val="0070C0"/>
            </a:solidFill>
            <a:latin typeface="Aptos Narrow"/>
            <a:ea typeface="+mn-ea"/>
            <a:cs typeface="+mn-cs"/>
          </a:endParaRPr>
        </a:p>
      </xdr:txBody>
    </xdr:sp>
    <xdr:clientData/>
  </xdr:twoCellAnchor>
  <xdr:twoCellAnchor>
    <xdr:from>
      <xdr:col>29</xdr:col>
      <xdr:colOff>468085</xdr:colOff>
      <xdr:row>11</xdr:row>
      <xdr:rowOff>119744</xdr:rowOff>
    </xdr:from>
    <xdr:to>
      <xdr:col>32</xdr:col>
      <xdr:colOff>544286</xdr:colOff>
      <xdr:row>14</xdr:row>
      <xdr:rowOff>130630</xdr:rowOff>
    </xdr:to>
    <xdr:sp macro="" textlink="Pivot!C15">
      <xdr:nvSpPr>
        <xdr:cNvPr id="29" name="TextBox 28">
          <a:extLst>
            <a:ext uri="{FF2B5EF4-FFF2-40B4-BE49-F238E27FC236}">
              <a16:creationId xmlns:a16="http://schemas.microsoft.com/office/drawing/2014/main" id="{371074EC-6EA9-483B-BA22-5B04EA9CB27C}"/>
            </a:ext>
          </a:extLst>
        </xdr:cNvPr>
        <xdr:cNvSpPr txBox="1"/>
      </xdr:nvSpPr>
      <xdr:spPr>
        <a:xfrm>
          <a:off x="18146485" y="2131424"/>
          <a:ext cx="1905001" cy="5595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A99C3F6-71D7-4EE7-8B4A-5318F8A1685F}" type="TxLink">
            <a:rPr lang="en-US" sz="2800" b="1" i="0" u="none" strike="noStrike">
              <a:solidFill>
                <a:srgbClr val="0070C0"/>
              </a:solidFill>
              <a:latin typeface="Aptos Narrow"/>
              <a:ea typeface="+mn-ea"/>
              <a:cs typeface="+mn-cs"/>
            </a:rPr>
            <a:pPr marL="0" indent="0" algn="ctr"/>
            <a:t>$126.4K</a:t>
          </a:fld>
          <a:endParaRPr lang="en-US" sz="2800" b="1" i="0" u="none" strike="noStrike">
            <a:solidFill>
              <a:srgbClr val="0070C0"/>
            </a:solidFill>
            <a:latin typeface="Aptos Narrow"/>
            <a:ea typeface="+mn-ea"/>
            <a:cs typeface="+mn-cs"/>
          </a:endParaRPr>
        </a:p>
      </xdr:txBody>
    </xdr:sp>
    <xdr:clientData/>
  </xdr:twoCellAnchor>
  <xdr:twoCellAnchor>
    <xdr:from>
      <xdr:col>1</xdr:col>
      <xdr:colOff>511628</xdr:colOff>
      <xdr:row>14</xdr:row>
      <xdr:rowOff>43543</xdr:rowOff>
    </xdr:from>
    <xdr:to>
      <xdr:col>4</xdr:col>
      <xdr:colOff>500743</xdr:colOff>
      <xdr:row>16</xdr:row>
      <xdr:rowOff>43544</xdr:rowOff>
    </xdr:to>
    <xdr:sp macro="" textlink="">
      <xdr:nvSpPr>
        <xdr:cNvPr id="30" name="TextBox 29">
          <a:extLst>
            <a:ext uri="{FF2B5EF4-FFF2-40B4-BE49-F238E27FC236}">
              <a16:creationId xmlns:a16="http://schemas.microsoft.com/office/drawing/2014/main" id="{2240DD08-A69E-4ADE-88A7-F0E8A0ABFDFF}"/>
            </a:ext>
          </a:extLst>
        </xdr:cNvPr>
        <xdr:cNvSpPr txBox="1"/>
      </xdr:nvSpPr>
      <xdr:spPr>
        <a:xfrm>
          <a:off x="1121228" y="2603863"/>
          <a:ext cx="1817915" cy="3657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1" i="0" u="none" strike="noStrike">
              <a:solidFill>
                <a:schemeClr val="tx1">
                  <a:lumMod val="50000"/>
                  <a:lumOff val="50000"/>
                </a:schemeClr>
              </a:solidFill>
              <a:latin typeface="Aptos Narrow"/>
            </a:rPr>
            <a:t> Income this Period</a:t>
          </a:r>
          <a:endParaRPr lang="en-US" sz="2800" b="1" i="0" u="none" strike="noStrike">
            <a:solidFill>
              <a:schemeClr val="tx1">
                <a:lumMod val="50000"/>
                <a:lumOff val="50000"/>
              </a:schemeClr>
            </a:solidFill>
            <a:latin typeface="Aptos Narrow"/>
          </a:endParaRPr>
        </a:p>
      </xdr:txBody>
    </xdr:sp>
    <xdr:clientData/>
  </xdr:twoCellAnchor>
  <xdr:twoCellAnchor>
    <xdr:from>
      <xdr:col>7</xdr:col>
      <xdr:colOff>217715</xdr:colOff>
      <xdr:row>13</xdr:row>
      <xdr:rowOff>185056</xdr:rowOff>
    </xdr:from>
    <xdr:to>
      <xdr:col>10</xdr:col>
      <xdr:colOff>206830</xdr:colOff>
      <xdr:row>16</xdr:row>
      <xdr:rowOff>0</xdr:rowOff>
    </xdr:to>
    <xdr:sp macro="" textlink="">
      <xdr:nvSpPr>
        <xdr:cNvPr id="31" name="TextBox 30">
          <a:extLst>
            <a:ext uri="{FF2B5EF4-FFF2-40B4-BE49-F238E27FC236}">
              <a16:creationId xmlns:a16="http://schemas.microsoft.com/office/drawing/2014/main" id="{90A02099-221B-48A4-BCD2-C1C1D44C8333}"/>
            </a:ext>
          </a:extLst>
        </xdr:cNvPr>
        <xdr:cNvSpPr txBox="1"/>
      </xdr:nvSpPr>
      <xdr:spPr>
        <a:xfrm>
          <a:off x="4484915" y="2562496"/>
          <a:ext cx="1817915" cy="3635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i="0" u="none" strike="noStrike">
              <a:solidFill>
                <a:schemeClr val="tx1">
                  <a:lumMod val="50000"/>
                  <a:lumOff val="50000"/>
                </a:schemeClr>
              </a:solidFill>
              <a:latin typeface="Aptos Narrow"/>
            </a:rPr>
            <a:t>Expenses this Period</a:t>
          </a:r>
          <a:endParaRPr lang="en-US" sz="2800" b="1" i="0" u="none" strike="noStrike">
            <a:solidFill>
              <a:schemeClr val="tx1">
                <a:lumMod val="50000"/>
                <a:lumOff val="50000"/>
              </a:schemeClr>
            </a:solidFill>
            <a:latin typeface="Aptos Narrow"/>
          </a:endParaRPr>
        </a:p>
      </xdr:txBody>
    </xdr:sp>
    <xdr:clientData/>
  </xdr:twoCellAnchor>
  <xdr:twoCellAnchor>
    <xdr:from>
      <xdr:col>13</xdr:col>
      <xdr:colOff>65314</xdr:colOff>
      <xdr:row>13</xdr:row>
      <xdr:rowOff>174170</xdr:rowOff>
    </xdr:from>
    <xdr:to>
      <xdr:col>16</xdr:col>
      <xdr:colOff>54429</xdr:colOff>
      <xdr:row>15</xdr:row>
      <xdr:rowOff>174171</xdr:rowOff>
    </xdr:to>
    <xdr:sp macro="" textlink="">
      <xdr:nvSpPr>
        <xdr:cNvPr id="32" name="TextBox 31">
          <a:extLst>
            <a:ext uri="{FF2B5EF4-FFF2-40B4-BE49-F238E27FC236}">
              <a16:creationId xmlns:a16="http://schemas.microsoft.com/office/drawing/2014/main" id="{7EB6F479-0F96-4851-A4F4-2E67E0FC97A3}"/>
            </a:ext>
          </a:extLst>
        </xdr:cNvPr>
        <xdr:cNvSpPr txBox="1"/>
      </xdr:nvSpPr>
      <xdr:spPr>
        <a:xfrm>
          <a:off x="7990114" y="2551610"/>
          <a:ext cx="1817915" cy="3657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i="0" u="none" strike="noStrike">
              <a:solidFill>
                <a:schemeClr val="tx1">
                  <a:lumMod val="50000"/>
                  <a:lumOff val="50000"/>
                </a:schemeClr>
              </a:solidFill>
              <a:latin typeface="Aptos Narrow"/>
            </a:rPr>
            <a:t> Income minus</a:t>
          </a:r>
          <a:r>
            <a:rPr lang="en-US" sz="1200" b="1" i="0" u="none" strike="noStrike" baseline="0">
              <a:solidFill>
                <a:schemeClr val="tx1">
                  <a:lumMod val="50000"/>
                  <a:lumOff val="50000"/>
                </a:schemeClr>
              </a:solidFill>
              <a:latin typeface="Aptos Narrow"/>
            </a:rPr>
            <a:t> Expenses</a:t>
          </a:r>
          <a:endParaRPr lang="en-US" sz="2800" b="1" i="0" u="none" strike="noStrike">
            <a:solidFill>
              <a:schemeClr val="tx1">
                <a:lumMod val="50000"/>
                <a:lumOff val="50000"/>
              </a:schemeClr>
            </a:solidFill>
            <a:latin typeface="Aptos Narrow"/>
          </a:endParaRPr>
        </a:p>
      </xdr:txBody>
    </xdr:sp>
    <xdr:clientData/>
  </xdr:twoCellAnchor>
  <xdr:twoCellAnchor>
    <xdr:from>
      <xdr:col>18</xdr:col>
      <xdr:colOff>326569</xdr:colOff>
      <xdr:row>14</xdr:row>
      <xdr:rowOff>10887</xdr:rowOff>
    </xdr:from>
    <xdr:to>
      <xdr:col>21</xdr:col>
      <xdr:colOff>315684</xdr:colOff>
      <xdr:row>16</xdr:row>
      <xdr:rowOff>10888</xdr:rowOff>
    </xdr:to>
    <xdr:sp macro="" textlink="">
      <xdr:nvSpPr>
        <xdr:cNvPr id="33" name="TextBox 32">
          <a:extLst>
            <a:ext uri="{FF2B5EF4-FFF2-40B4-BE49-F238E27FC236}">
              <a16:creationId xmlns:a16="http://schemas.microsoft.com/office/drawing/2014/main" id="{FA54C507-442E-4DD9-A322-3FD7047EEC97}"/>
            </a:ext>
          </a:extLst>
        </xdr:cNvPr>
        <xdr:cNvSpPr txBox="1"/>
      </xdr:nvSpPr>
      <xdr:spPr>
        <a:xfrm>
          <a:off x="11299369" y="2571207"/>
          <a:ext cx="1817915" cy="3657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1" i="0" u="none" strike="noStrike">
              <a:solidFill>
                <a:schemeClr val="tx1">
                  <a:lumMod val="50000"/>
                  <a:lumOff val="50000"/>
                </a:schemeClr>
              </a:solidFill>
              <a:latin typeface="Aptos Narrow"/>
            </a:rPr>
            <a:t>Of</a:t>
          </a:r>
          <a:r>
            <a:rPr lang="en-US" sz="1600" b="1" i="0" u="none" strike="noStrike" baseline="0">
              <a:solidFill>
                <a:schemeClr val="tx1">
                  <a:lumMod val="50000"/>
                  <a:lumOff val="50000"/>
                </a:schemeClr>
              </a:solidFill>
              <a:latin typeface="Aptos Narrow"/>
            </a:rPr>
            <a:t> Total Income</a:t>
          </a:r>
          <a:endParaRPr lang="en-US" sz="2800" b="1" i="0" u="none" strike="noStrike">
            <a:solidFill>
              <a:schemeClr val="tx1">
                <a:lumMod val="50000"/>
                <a:lumOff val="50000"/>
              </a:schemeClr>
            </a:solidFill>
            <a:latin typeface="Aptos Narrow"/>
          </a:endParaRPr>
        </a:p>
      </xdr:txBody>
    </xdr:sp>
    <xdr:clientData/>
  </xdr:twoCellAnchor>
  <xdr:twoCellAnchor>
    <xdr:from>
      <xdr:col>24</xdr:col>
      <xdr:colOff>152398</xdr:colOff>
      <xdr:row>14</xdr:row>
      <xdr:rowOff>10886</xdr:rowOff>
    </xdr:from>
    <xdr:to>
      <xdr:col>27</xdr:col>
      <xdr:colOff>141513</xdr:colOff>
      <xdr:row>16</xdr:row>
      <xdr:rowOff>10887</xdr:rowOff>
    </xdr:to>
    <xdr:sp macro="" textlink="">
      <xdr:nvSpPr>
        <xdr:cNvPr id="34" name="TextBox 33">
          <a:extLst>
            <a:ext uri="{FF2B5EF4-FFF2-40B4-BE49-F238E27FC236}">
              <a16:creationId xmlns:a16="http://schemas.microsoft.com/office/drawing/2014/main" id="{B8B76BFF-35BF-40B6-8E2A-24229DE61408}"/>
            </a:ext>
          </a:extLst>
        </xdr:cNvPr>
        <xdr:cNvSpPr txBox="1"/>
      </xdr:nvSpPr>
      <xdr:spPr>
        <a:xfrm>
          <a:off x="14782798" y="2571206"/>
          <a:ext cx="1817915" cy="3657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1" i="0" u="none" strike="noStrike">
              <a:solidFill>
                <a:schemeClr val="tx1">
                  <a:lumMod val="50000"/>
                  <a:lumOff val="50000"/>
                </a:schemeClr>
              </a:solidFill>
              <a:latin typeface="Aptos Narrow"/>
            </a:rPr>
            <a:t>Spent</a:t>
          </a:r>
          <a:r>
            <a:rPr lang="en-US" sz="1600" b="1" i="0" u="none" strike="noStrike" baseline="0">
              <a:solidFill>
                <a:schemeClr val="tx1">
                  <a:lumMod val="50000"/>
                  <a:lumOff val="50000"/>
                </a:schemeClr>
              </a:solidFill>
              <a:latin typeface="Aptos Narrow"/>
            </a:rPr>
            <a:t> vs Budgeted</a:t>
          </a:r>
          <a:endParaRPr lang="en-US" sz="2800" b="1" i="0" u="none" strike="noStrike">
            <a:solidFill>
              <a:schemeClr val="tx1">
                <a:lumMod val="50000"/>
                <a:lumOff val="50000"/>
              </a:schemeClr>
            </a:solidFill>
            <a:latin typeface="Aptos Narrow"/>
          </a:endParaRPr>
        </a:p>
      </xdr:txBody>
    </xdr:sp>
    <xdr:clientData/>
  </xdr:twoCellAnchor>
  <xdr:twoCellAnchor>
    <xdr:from>
      <xdr:col>29</xdr:col>
      <xdr:colOff>457200</xdr:colOff>
      <xdr:row>13</xdr:row>
      <xdr:rowOff>152400</xdr:rowOff>
    </xdr:from>
    <xdr:to>
      <xdr:col>32</xdr:col>
      <xdr:colOff>446315</xdr:colOff>
      <xdr:row>15</xdr:row>
      <xdr:rowOff>152401</xdr:rowOff>
    </xdr:to>
    <xdr:sp macro="" textlink="">
      <xdr:nvSpPr>
        <xdr:cNvPr id="35" name="TextBox 34">
          <a:extLst>
            <a:ext uri="{FF2B5EF4-FFF2-40B4-BE49-F238E27FC236}">
              <a16:creationId xmlns:a16="http://schemas.microsoft.com/office/drawing/2014/main" id="{25625CC7-4BFE-4DC5-9726-88D6A7D289D7}"/>
            </a:ext>
          </a:extLst>
        </xdr:cNvPr>
        <xdr:cNvSpPr txBox="1"/>
      </xdr:nvSpPr>
      <xdr:spPr>
        <a:xfrm>
          <a:off x="18135600" y="2529840"/>
          <a:ext cx="1817915" cy="3657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1" i="0" u="none" strike="noStrike">
              <a:solidFill>
                <a:schemeClr val="tx1">
                  <a:lumMod val="50000"/>
                  <a:lumOff val="50000"/>
                </a:schemeClr>
              </a:solidFill>
              <a:latin typeface="Aptos Narrow"/>
            </a:rPr>
            <a:t>Latest</a:t>
          </a:r>
          <a:r>
            <a:rPr lang="en-US" sz="1600" b="1" i="0" u="none" strike="noStrike" baseline="0">
              <a:solidFill>
                <a:schemeClr val="tx1">
                  <a:lumMod val="50000"/>
                  <a:lumOff val="50000"/>
                </a:schemeClr>
              </a:solidFill>
              <a:latin typeface="Aptos Narrow"/>
            </a:rPr>
            <a:t> Balance</a:t>
          </a:r>
          <a:endParaRPr lang="en-US" sz="2800" b="1" i="0" u="none" strike="noStrike">
            <a:solidFill>
              <a:schemeClr val="tx1">
                <a:lumMod val="50000"/>
                <a:lumOff val="50000"/>
              </a:schemeClr>
            </a:solidFill>
            <a:latin typeface="Aptos Narrow"/>
          </a:endParaRPr>
        </a:p>
      </xdr:txBody>
    </xdr:sp>
    <xdr:clientData/>
  </xdr:twoCellAnchor>
  <xdr:twoCellAnchor>
    <xdr:from>
      <xdr:col>0</xdr:col>
      <xdr:colOff>206829</xdr:colOff>
      <xdr:row>17</xdr:row>
      <xdr:rowOff>163288</xdr:rowOff>
    </xdr:from>
    <xdr:to>
      <xdr:col>3</xdr:col>
      <xdr:colOff>97971</xdr:colOff>
      <xdr:row>55</xdr:row>
      <xdr:rowOff>152400</xdr:rowOff>
    </xdr:to>
    <xdr:sp macro="" textlink="">
      <xdr:nvSpPr>
        <xdr:cNvPr id="36" name="Rectangle: Rounded Corners 35">
          <a:extLst>
            <a:ext uri="{FF2B5EF4-FFF2-40B4-BE49-F238E27FC236}">
              <a16:creationId xmlns:a16="http://schemas.microsoft.com/office/drawing/2014/main" id="{58408871-749C-4592-9D8C-17E7954A421C}"/>
            </a:ext>
          </a:extLst>
        </xdr:cNvPr>
        <xdr:cNvSpPr/>
      </xdr:nvSpPr>
      <xdr:spPr>
        <a:xfrm>
          <a:off x="206829" y="3272248"/>
          <a:ext cx="1719942" cy="6938552"/>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239486</xdr:colOff>
      <xdr:row>18</xdr:row>
      <xdr:rowOff>1</xdr:rowOff>
    </xdr:from>
    <xdr:to>
      <xdr:col>12</xdr:col>
      <xdr:colOff>587829</xdr:colOff>
      <xdr:row>36</xdr:row>
      <xdr:rowOff>87086</xdr:rowOff>
    </xdr:to>
    <xdr:sp macro="" textlink="">
      <xdr:nvSpPr>
        <xdr:cNvPr id="37" name="Rectangle: Rounded Corners 36">
          <a:extLst>
            <a:ext uri="{FF2B5EF4-FFF2-40B4-BE49-F238E27FC236}">
              <a16:creationId xmlns:a16="http://schemas.microsoft.com/office/drawing/2014/main" id="{1946FB97-253C-41C0-A365-5042878787BC}"/>
            </a:ext>
          </a:extLst>
        </xdr:cNvPr>
        <xdr:cNvSpPr/>
      </xdr:nvSpPr>
      <xdr:spPr>
        <a:xfrm>
          <a:off x="2068286" y="3291841"/>
          <a:ext cx="5834743" cy="3378925"/>
        </a:xfrm>
        <a:prstGeom prst="roundRect">
          <a:avLst>
            <a:gd name="adj" fmla="val 5520"/>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195944</xdr:colOff>
      <xdr:row>37</xdr:row>
      <xdr:rowOff>2</xdr:rowOff>
    </xdr:from>
    <xdr:to>
      <xdr:col>10</xdr:col>
      <xdr:colOff>587829</xdr:colOff>
      <xdr:row>55</xdr:row>
      <xdr:rowOff>54429</xdr:rowOff>
    </xdr:to>
    <xdr:sp macro="" textlink="">
      <xdr:nvSpPr>
        <xdr:cNvPr id="38" name="Rectangle: Rounded Corners 37">
          <a:extLst>
            <a:ext uri="{FF2B5EF4-FFF2-40B4-BE49-F238E27FC236}">
              <a16:creationId xmlns:a16="http://schemas.microsoft.com/office/drawing/2014/main" id="{F1BC137E-700D-4055-9F34-6E9A0C35AED7}"/>
            </a:ext>
          </a:extLst>
        </xdr:cNvPr>
        <xdr:cNvSpPr/>
      </xdr:nvSpPr>
      <xdr:spPr>
        <a:xfrm>
          <a:off x="2024744" y="6766562"/>
          <a:ext cx="4659085" cy="3346267"/>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65315</xdr:colOff>
      <xdr:row>18</xdr:row>
      <xdr:rowOff>10884</xdr:rowOff>
    </xdr:from>
    <xdr:to>
      <xdr:col>19</xdr:col>
      <xdr:colOff>555172</xdr:colOff>
      <xdr:row>36</xdr:row>
      <xdr:rowOff>119742</xdr:rowOff>
    </xdr:to>
    <xdr:sp macro="" textlink="">
      <xdr:nvSpPr>
        <xdr:cNvPr id="39" name="Rectangle: Rounded Corners 38">
          <a:extLst>
            <a:ext uri="{FF2B5EF4-FFF2-40B4-BE49-F238E27FC236}">
              <a16:creationId xmlns:a16="http://schemas.microsoft.com/office/drawing/2014/main" id="{FC542F5A-CB64-47A3-872F-22A651AD8517}"/>
            </a:ext>
          </a:extLst>
        </xdr:cNvPr>
        <xdr:cNvSpPr/>
      </xdr:nvSpPr>
      <xdr:spPr>
        <a:xfrm>
          <a:off x="7990115" y="3302724"/>
          <a:ext cx="4147457" cy="3400698"/>
        </a:xfrm>
        <a:prstGeom prst="roundRect">
          <a:avLst>
            <a:gd name="adj" fmla="val 4009"/>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32658</xdr:colOff>
      <xdr:row>18</xdr:row>
      <xdr:rowOff>21772</xdr:rowOff>
    </xdr:from>
    <xdr:to>
      <xdr:col>26</xdr:col>
      <xdr:colOff>544285</xdr:colOff>
      <xdr:row>36</xdr:row>
      <xdr:rowOff>130630</xdr:rowOff>
    </xdr:to>
    <xdr:sp macro="" textlink="">
      <xdr:nvSpPr>
        <xdr:cNvPr id="40" name="Rectangle: Rounded Corners 39">
          <a:extLst>
            <a:ext uri="{FF2B5EF4-FFF2-40B4-BE49-F238E27FC236}">
              <a16:creationId xmlns:a16="http://schemas.microsoft.com/office/drawing/2014/main" id="{91F5C335-EF07-4F47-AD5F-DADB9CCCC062}"/>
            </a:ext>
          </a:extLst>
        </xdr:cNvPr>
        <xdr:cNvSpPr/>
      </xdr:nvSpPr>
      <xdr:spPr>
        <a:xfrm>
          <a:off x="12224658" y="3313612"/>
          <a:ext cx="4169227" cy="3400698"/>
        </a:xfrm>
        <a:prstGeom prst="roundRect">
          <a:avLst>
            <a:gd name="adj" fmla="val 5591"/>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27</xdr:col>
      <xdr:colOff>65314</xdr:colOff>
      <xdr:row>18</xdr:row>
      <xdr:rowOff>-1</xdr:rowOff>
    </xdr:from>
    <xdr:to>
      <xdr:col>33</xdr:col>
      <xdr:colOff>489857</xdr:colOff>
      <xdr:row>36</xdr:row>
      <xdr:rowOff>108857</xdr:rowOff>
    </xdr:to>
    <xdr:sp macro="" textlink="">
      <xdr:nvSpPr>
        <xdr:cNvPr id="41" name="Rectangle: Rounded Corners 40">
          <a:extLst>
            <a:ext uri="{FF2B5EF4-FFF2-40B4-BE49-F238E27FC236}">
              <a16:creationId xmlns:a16="http://schemas.microsoft.com/office/drawing/2014/main" id="{5886D77A-3C93-42CC-AF38-EB991E20C2A8}"/>
            </a:ext>
          </a:extLst>
        </xdr:cNvPr>
        <xdr:cNvSpPr/>
      </xdr:nvSpPr>
      <xdr:spPr>
        <a:xfrm>
          <a:off x="16524514" y="3291839"/>
          <a:ext cx="4082143" cy="3400698"/>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119744</xdr:colOff>
      <xdr:row>37</xdr:row>
      <xdr:rowOff>32659</xdr:rowOff>
    </xdr:from>
    <xdr:to>
      <xdr:col>17</xdr:col>
      <xdr:colOff>250371</xdr:colOff>
      <xdr:row>55</xdr:row>
      <xdr:rowOff>141516</xdr:rowOff>
    </xdr:to>
    <xdr:sp macro="" textlink="">
      <xdr:nvSpPr>
        <xdr:cNvPr id="42" name="Rectangle: Rounded Corners 41">
          <a:extLst>
            <a:ext uri="{FF2B5EF4-FFF2-40B4-BE49-F238E27FC236}">
              <a16:creationId xmlns:a16="http://schemas.microsoft.com/office/drawing/2014/main" id="{BA147664-6E5B-4487-9218-7D11668DFB0D}"/>
            </a:ext>
          </a:extLst>
        </xdr:cNvPr>
        <xdr:cNvSpPr/>
      </xdr:nvSpPr>
      <xdr:spPr>
        <a:xfrm>
          <a:off x="6825344" y="6799219"/>
          <a:ext cx="3788227" cy="3400697"/>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348343</xdr:colOff>
      <xdr:row>37</xdr:row>
      <xdr:rowOff>32657</xdr:rowOff>
    </xdr:from>
    <xdr:to>
      <xdr:col>24</xdr:col>
      <xdr:colOff>576943</xdr:colOff>
      <xdr:row>55</xdr:row>
      <xdr:rowOff>141514</xdr:rowOff>
    </xdr:to>
    <xdr:sp macro="" textlink="">
      <xdr:nvSpPr>
        <xdr:cNvPr id="43" name="Rectangle: Rounded Corners 42">
          <a:extLst>
            <a:ext uri="{FF2B5EF4-FFF2-40B4-BE49-F238E27FC236}">
              <a16:creationId xmlns:a16="http://schemas.microsoft.com/office/drawing/2014/main" id="{50BBC9C2-5B28-4BF2-BEF3-74221866D943}"/>
            </a:ext>
          </a:extLst>
        </xdr:cNvPr>
        <xdr:cNvSpPr/>
      </xdr:nvSpPr>
      <xdr:spPr>
        <a:xfrm>
          <a:off x="10711543" y="6799217"/>
          <a:ext cx="4495800" cy="3400697"/>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25</xdr:col>
      <xdr:colOff>54428</xdr:colOff>
      <xdr:row>37</xdr:row>
      <xdr:rowOff>10887</xdr:rowOff>
    </xdr:from>
    <xdr:to>
      <xdr:col>33</xdr:col>
      <xdr:colOff>359229</xdr:colOff>
      <xdr:row>55</xdr:row>
      <xdr:rowOff>119744</xdr:rowOff>
    </xdr:to>
    <xdr:sp macro="" textlink="">
      <xdr:nvSpPr>
        <xdr:cNvPr id="44" name="Rectangle: Rounded Corners 43">
          <a:extLst>
            <a:ext uri="{FF2B5EF4-FFF2-40B4-BE49-F238E27FC236}">
              <a16:creationId xmlns:a16="http://schemas.microsoft.com/office/drawing/2014/main" id="{E0AD9C23-0867-4F4E-9166-23F86341F501}"/>
            </a:ext>
          </a:extLst>
        </xdr:cNvPr>
        <xdr:cNvSpPr/>
      </xdr:nvSpPr>
      <xdr:spPr>
        <a:xfrm>
          <a:off x="15294428" y="6777447"/>
          <a:ext cx="5181601" cy="3400697"/>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326571</xdr:colOff>
      <xdr:row>18</xdr:row>
      <xdr:rowOff>97971</xdr:rowOff>
    </xdr:from>
    <xdr:to>
      <xdr:col>12</xdr:col>
      <xdr:colOff>457200</xdr:colOff>
      <xdr:row>35</xdr:row>
      <xdr:rowOff>152400</xdr:rowOff>
    </xdr:to>
    <xdr:graphicFrame macro="">
      <xdr:nvGraphicFramePr>
        <xdr:cNvPr id="45" name="Chart 44">
          <a:extLst>
            <a:ext uri="{FF2B5EF4-FFF2-40B4-BE49-F238E27FC236}">
              <a16:creationId xmlns:a16="http://schemas.microsoft.com/office/drawing/2014/main" id="{7A72AD27-2C1D-4BDC-800F-556DAC1CE2E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108857</xdr:colOff>
      <xdr:row>18</xdr:row>
      <xdr:rowOff>65314</xdr:rowOff>
    </xdr:from>
    <xdr:to>
      <xdr:col>19</xdr:col>
      <xdr:colOff>489857</xdr:colOff>
      <xdr:row>36</xdr:row>
      <xdr:rowOff>21771</xdr:rowOff>
    </xdr:to>
    <xdr:graphicFrame macro="">
      <xdr:nvGraphicFramePr>
        <xdr:cNvPr id="46" name="Chart 45">
          <a:extLst>
            <a:ext uri="{FF2B5EF4-FFF2-40B4-BE49-F238E27FC236}">
              <a16:creationId xmlns:a16="http://schemas.microsoft.com/office/drawing/2014/main" id="{39B7D710-3834-42C2-BC52-4C2EC0C570D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20</xdr:col>
      <xdr:colOff>65313</xdr:colOff>
      <xdr:row>18</xdr:row>
      <xdr:rowOff>97971</xdr:rowOff>
    </xdr:from>
    <xdr:to>
      <xdr:col>26</xdr:col>
      <xdr:colOff>489857</xdr:colOff>
      <xdr:row>36</xdr:row>
      <xdr:rowOff>32656</xdr:rowOff>
    </xdr:to>
    <xdr:graphicFrame macro="">
      <xdr:nvGraphicFramePr>
        <xdr:cNvPr id="47" name="Chart 46">
          <a:extLst>
            <a:ext uri="{FF2B5EF4-FFF2-40B4-BE49-F238E27FC236}">
              <a16:creationId xmlns:a16="http://schemas.microsoft.com/office/drawing/2014/main" id="{C8DEDAA8-D3B9-4B0D-BF86-BA53CEFD95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0</xdr:col>
      <xdr:colOff>500743</xdr:colOff>
      <xdr:row>20</xdr:row>
      <xdr:rowOff>119743</xdr:rowOff>
    </xdr:from>
    <xdr:to>
      <xdr:col>2</xdr:col>
      <xdr:colOff>435429</xdr:colOff>
      <xdr:row>24</xdr:row>
      <xdr:rowOff>141515</xdr:rowOff>
    </xdr:to>
    <xdr:sp macro="" textlink="">
      <xdr:nvSpPr>
        <xdr:cNvPr id="48" name="Rectangle 47">
          <a:extLst>
            <a:ext uri="{FF2B5EF4-FFF2-40B4-BE49-F238E27FC236}">
              <a16:creationId xmlns:a16="http://schemas.microsoft.com/office/drawing/2014/main" id="{24042C1F-8C2B-799E-8B2C-F127B811BBA3}"/>
            </a:ext>
          </a:extLst>
        </xdr:cNvPr>
        <xdr:cNvSpPr/>
      </xdr:nvSpPr>
      <xdr:spPr>
        <a:xfrm>
          <a:off x="500743" y="3820886"/>
          <a:ext cx="1153886" cy="7620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522514</xdr:colOff>
      <xdr:row>20</xdr:row>
      <xdr:rowOff>174171</xdr:rowOff>
    </xdr:from>
    <xdr:to>
      <xdr:col>2</xdr:col>
      <xdr:colOff>402771</xdr:colOff>
      <xdr:row>24</xdr:row>
      <xdr:rowOff>87086</xdr:rowOff>
    </xdr:to>
    <xdr:sp macro="" textlink="">
      <xdr:nvSpPr>
        <xdr:cNvPr id="49" name="TextBox 48">
          <a:hlinkClick xmlns:r="http://schemas.openxmlformats.org/officeDocument/2006/relationships" r:id="rId18"/>
          <a:extLst>
            <a:ext uri="{FF2B5EF4-FFF2-40B4-BE49-F238E27FC236}">
              <a16:creationId xmlns:a16="http://schemas.microsoft.com/office/drawing/2014/main" id="{5280C49B-B501-590D-17AD-868AE0134D2D}"/>
            </a:ext>
          </a:extLst>
        </xdr:cNvPr>
        <xdr:cNvSpPr txBox="1"/>
      </xdr:nvSpPr>
      <xdr:spPr>
        <a:xfrm>
          <a:off x="522514" y="3875314"/>
          <a:ext cx="1099457" cy="6531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Connection Botton</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34</xdr:col>
      <xdr:colOff>21770</xdr:colOff>
      <xdr:row>6</xdr:row>
      <xdr:rowOff>169817</xdr:rowOff>
    </xdr:to>
    <xdr:sp macro="" textlink="">
      <xdr:nvSpPr>
        <xdr:cNvPr id="2" name="Rectangle 1">
          <a:extLst>
            <a:ext uri="{FF2B5EF4-FFF2-40B4-BE49-F238E27FC236}">
              <a16:creationId xmlns:a16="http://schemas.microsoft.com/office/drawing/2014/main" id="{65C874C6-FB15-6D40-54AC-EA7E3B99B5BE}"/>
            </a:ext>
          </a:extLst>
        </xdr:cNvPr>
        <xdr:cNvSpPr/>
      </xdr:nvSpPr>
      <xdr:spPr>
        <a:xfrm>
          <a:off x="0" y="0"/>
          <a:ext cx="20748170" cy="1280160"/>
        </a:xfrm>
        <a:prstGeom prst="rect">
          <a:avLst/>
        </a:prstGeom>
        <a:solidFill>
          <a:srgbClr val="00206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65314</xdr:colOff>
      <xdr:row>0</xdr:row>
      <xdr:rowOff>174172</xdr:rowOff>
    </xdr:from>
    <xdr:to>
      <xdr:col>22</xdr:col>
      <xdr:colOff>461554</xdr:colOff>
      <xdr:row>4</xdr:row>
      <xdr:rowOff>74023</xdr:rowOff>
    </xdr:to>
    <xdr:sp macro="" textlink="">
      <xdr:nvSpPr>
        <xdr:cNvPr id="3" name="TextBox 2">
          <a:extLst>
            <a:ext uri="{FF2B5EF4-FFF2-40B4-BE49-F238E27FC236}">
              <a16:creationId xmlns:a16="http://schemas.microsoft.com/office/drawing/2014/main" id="{3F00D528-B530-92B1-7C84-2508D283C4DD}"/>
            </a:ext>
          </a:extLst>
        </xdr:cNvPr>
        <xdr:cNvSpPr txBox="1"/>
      </xdr:nvSpPr>
      <xdr:spPr>
        <a:xfrm>
          <a:off x="5551714" y="174172"/>
          <a:ext cx="8321040" cy="640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600" b="1">
              <a:solidFill>
                <a:schemeClr val="bg1"/>
              </a:solidFill>
            </a:rPr>
            <a:t>PERSONAL FINANCE DASHBOARD|FY 2026</a:t>
          </a:r>
          <a:endParaRPr lang="en-US" sz="6000" b="1">
            <a:solidFill>
              <a:schemeClr val="bg1"/>
            </a:solidFill>
          </a:endParaRPr>
        </a:p>
      </xdr:txBody>
    </xdr:sp>
    <xdr:clientData/>
  </xdr:twoCellAnchor>
  <xdr:twoCellAnchor>
    <xdr:from>
      <xdr:col>9</xdr:col>
      <xdr:colOff>268876</xdr:colOff>
      <xdr:row>3</xdr:row>
      <xdr:rowOff>140427</xdr:rowOff>
    </xdr:from>
    <xdr:to>
      <xdr:col>18</xdr:col>
      <xdr:colOff>131716</xdr:colOff>
      <xdr:row>5</xdr:row>
      <xdr:rowOff>170907</xdr:rowOff>
    </xdr:to>
    <xdr:sp macro="" textlink="">
      <xdr:nvSpPr>
        <xdr:cNvPr id="4" name="TextBox 3">
          <a:extLst>
            <a:ext uri="{FF2B5EF4-FFF2-40B4-BE49-F238E27FC236}">
              <a16:creationId xmlns:a16="http://schemas.microsoft.com/office/drawing/2014/main" id="{F9A76E70-901E-4A4E-9CDE-3284DEEE7F8E}"/>
            </a:ext>
          </a:extLst>
        </xdr:cNvPr>
        <xdr:cNvSpPr txBox="1"/>
      </xdr:nvSpPr>
      <xdr:spPr>
        <a:xfrm>
          <a:off x="5755276" y="695598"/>
          <a:ext cx="5349240" cy="4005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800" b="1">
              <a:solidFill>
                <a:schemeClr val="bg1"/>
              </a:solidFill>
            </a:rPr>
            <a:t>Track your</a:t>
          </a:r>
          <a:r>
            <a:rPr lang="en-US" sz="1800" b="1" baseline="0">
              <a:solidFill>
                <a:schemeClr val="bg1"/>
              </a:solidFill>
            </a:rPr>
            <a:t> income, Expenses, Savings &amp; Budget in one Place</a:t>
          </a:r>
          <a:endParaRPr lang="en-US" sz="2800" b="1">
            <a:solidFill>
              <a:schemeClr val="bg1"/>
            </a:solidFill>
          </a:endParaRPr>
        </a:p>
      </xdr:txBody>
    </xdr:sp>
    <xdr:clientData/>
  </xdr:twoCellAnchor>
  <xdr:twoCellAnchor>
    <xdr:from>
      <xdr:col>28</xdr:col>
      <xdr:colOff>239486</xdr:colOff>
      <xdr:row>7</xdr:row>
      <xdr:rowOff>21772</xdr:rowOff>
    </xdr:from>
    <xdr:to>
      <xdr:col>33</xdr:col>
      <xdr:colOff>391886</xdr:colOff>
      <xdr:row>17</xdr:row>
      <xdr:rowOff>1</xdr:rowOff>
    </xdr:to>
    <xdr:sp macro="" textlink="">
      <xdr:nvSpPr>
        <xdr:cNvPr id="10" name="Rectangle: Rounded Corners 9">
          <a:extLst>
            <a:ext uri="{FF2B5EF4-FFF2-40B4-BE49-F238E27FC236}">
              <a16:creationId xmlns:a16="http://schemas.microsoft.com/office/drawing/2014/main" id="{D17F9248-D87F-48D9-9CD0-3197F3B9B8B0}"/>
            </a:ext>
          </a:extLst>
        </xdr:cNvPr>
        <xdr:cNvSpPr/>
      </xdr:nvSpPr>
      <xdr:spPr>
        <a:xfrm>
          <a:off x="17308286" y="1317172"/>
          <a:ext cx="3200400" cy="1828800"/>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163285</xdr:colOff>
      <xdr:row>7</xdr:row>
      <xdr:rowOff>21770</xdr:rowOff>
    </xdr:from>
    <xdr:to>
      <xdr:col>5</xdr:col>
      <xdr:colOff>315685</xdr:colOff>
      <xdr:row>16</xdr:row>
      <xdr:rowOff>185056</xdr:rowOff>
    </xdr:to>
    <xdr:sp macro="" textlink="">
      <xdr:nvSpPr>
        <xdr:cNvPr id="11" name="Rectangle: Rounded Corners 10">
          <a:extLst>
            <a:ext uri="{FF2B5EF4-FFF2-40B4-BE49-F238E27FC236}">
              <a16:creationId xmlns:a16="http://schemas.microsoft.com/office/drawing/2014/main" id="{AF7E4E56-4FD5-4B18-8006-B346371A194F}"/>
            </a:ext>
          </a:extLst>
        </xdr:cNvPr>
        <xdr:cNvSpPr/>
      </xdr:nvSpPr>
      <xdr:spPr>
        <a:xfrm>
          <a:off x="163285" y="1317170"/>
          <a:ext cx="3200400" cy="1828800"/>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522515</xdr:colOff>
      <xdr:row>7</xdr:row>
      <xdr:rowOff>43542</xdr:rowOff>
    </xdr:from>
    <xdr:to>
      <xdr:col>11</xdr:col>
      <xdr:colOff>65315</xdr:colOff>
      <xdr:row>17</xdr:row>
      <xdr:rowOff>21771</xdr:rowOff>
    </xdr:to>
    <xdr:sp macro="" textlink="">
      <xdr:nvSpPr>
        <xdr:cNvPr id="12" name="Rectangle: Rounded Corners 11">
          <a:extLst>
            <a:ext uri="{FF2B5EF4-FFF2-40B4-BE49-F238E27FC236}">
              <a16:creationId xmlns:a16="http://schemas.microsoft.com/office/drawing/2014/main" id="{EC2BFD08-7C0E-4864-B5A9-EBD3BFE91723}"/>
            </a:ext>
          </a:extLst>
        </xdr:cNvPr>
        <xdr:cNvSpPr/>
      </xdr:nvSpPr>
      <xdr:spPr>
        <a:xfrm>
          <a:off x="3570515" y="1338942"/>
          <a:ext cx="3200400" cy="1828800"/>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315686</xdr:colOff>
      <xdr:row>7</xdr:row>
      <xdr:rowOff>32656</xdr:rowOff>
    </xdr:from>
    <xdr:to>
      <xdr:col>16</xdr:col>
      <xdr:colOff>468086</xdr:colOff>
      <xdr:row>17</xdr:row>
      <xdr:rowOff>10885</xdr:rowOff>
    </xdr:to>
    <xdr:sp macro="" textlink="">
      <xdr:nvSpPr>
        <xdr:cNvPr id="13" name="Rectangle: Rounded Corners 12">
          <a:extLst>
            <a:ext uri="{FF2B5EF4-FFF2-40B4-BE49-F238E27FC236}">
              <a16:creationId xmlns:a16="http://schemas.microsoft.com/office/drawing/2014/main" id="{438A2F7E-3342-41A6-BFBB-C1CCBBF049B6}"/>
            </a:ext>
          </a:extLst>
        </xdr:cNvPr>
        <xdr:cNvSpPr/>
      </xdr:nvSpPr>
      <xdr:spPr>
        <a:xfrm>
          <a:off x="7021286" y="1328056"/>
          <a:ext cx="3200400" cy="1828800"/>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65312</xdr:colOff>
      <xdr:row>7</xdr:row>
      <xdr:rowOff>43544</xdr:rowOff>
    </xdr:from>
    <xdr:to>
      <xdr:col>22</xdr:col>
      <xdr:colOff>217712</xdr:colOff>
      <xdr:row>17</xdr:row>
      <xdr:rowOff>21773</xdr:rowOff>
    </xdr:to>
    <xdr:sp macro="" textlink="">
      <xdr:nvSpPr>
        <xdr:cNvPr id="14" name="Rectangle: Rounded Corners 13">
          <a:extLst>
            <a:ext uri="{FF2B5EF4-FFF2-40B4-BE49-F238E27FC236}">
              <a16:creationId xmlns:a16="http://schemas.microsoft.com/office/drawing/2014/main" id="{C877C66E-C72C-4998-B9FC-ECFBE1E41765}"/>
            </a:ext>
          </a:extLst>
        </xdr:cNvPr>
        <xdr:cNvSpPr/>
      </xdr:nvSpPr>
      <xdr:spPr>
        <a:xfrm>
          <a:off x="10428512" y="1338944"/>
          <a:ext cx="3200400" cy="1828800"/>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22</xdr:col>
      <xdr:colOff>478970</xdr:colOff>
      <xdr:row>7</xdr:row>
      <xdr:rowOff>43543</xdr:rowOff>
    </xdr:from>
    <xdr:to>
      <xdr:col>28</xdr:col>
      <xdr:colOff>21770</xdr:colOff>
      <xdr:row>17</xdr:row>
      <xdr:rowOff>21772</xdr:rowOff>
    </xdr:to>
    <xdr:sp macro="" textlink="">
      <xdr:nvSpPr>
        <xdr:cNvPr id="15" name="Rectangle: Rounded Corners 14">
          <a:extLst>
            <a:ext uri="{FF2B5EF4-FFF2-40B4-BE49-F238E27FC236}">
              <a16:creationId xmlns:a16="http://schemas.microsoft.com/office/drawing/2014/main" id="{7BED3421-F472-4D0E-B669-DE9005A10D7C}"/>
            </a:ext>
          </a:extLst>
        </xdr:cNvPr>
        <xdr:cNvSpPr/>
      </xdr:nvSpPr>
      <xdr:spPr>
        <a:xfrm>
          <a:off x="13890170" y="1338943"/>
          <a:ext cx="3200400" cy="1828800"/>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511629</xdr:colOff>
      <xdr:row>7</xdr:row>
      <xdr:rowOff>130629</xdr:rowOff>
    </xdr:from>
    <xdr:to>
      <xdr:col>4</xdr:col>
      <xdr:colOff>435429</xdr:colOff>
      <xdr:row>10</xdr:row>
      <xdr:rowOff>141515</xdr:rowOff>
    </xdr:to>
    <xdr:sp macro="" textlink="">
      <xdr:nvSpPr>
        <xdr:cNvPr id="5" name="TextBox 4">
          <a:extLst>
            <a:ext uri="{FF2B5EF4-FFF2-40B4-BE49-F238E27FC236}">
              <a16:creationId xmlns:a16="http://schemas.microsoft.com/office/drawing/2014/main" id="{B4B59CB4-13DD-49AE-64E1-BC9E2C7FCD81}"/>
            </a:ext>
          </a:extLst>
        </xdr:cNvPr>
        <xdr:cNvSpPr txBox="1"/>
      </xdr:nvSpPr>
      <xdr:spPr>
        <a:xfrm>
          <a:off x="511629" y="1426029"/>
          <a:ext cx="2362200" cy="56605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t>Total Income</a:t>
          </a:r>
          <a:endParaRPr lang="en-US" sz="1100" b="1"/>
        </a:p>
      </xdr:txBody>
    </xdr:sp>
    <xdr:clientData/>
  </xdr:twoCellAnchor>
  <xdr:twoCellAnchor>
    <xdr:from>
      <xdr:col>6</xdr:col>
      <xdr:colOff>304801</xdr:colOff>
      <xdr:row>7</xdr:row>
      <xdr:rowOff>119742</xdr:rowOff>
    </xdr:from>
    <xdr:to>
      <xdr:col>10</xdr:col>
      <xdr:colOff>228601</xdr:colOff>
      <xdr:row>10</xdr:row>
      <xdr:rowOff>130628</xdr:rowOff>
    </xdr:to>
    <xdr:sp macro="" textlink="">
      <xdr:nvSpPr>
        <xdr:cNvPr id="6" name="TextBox 5">
          <a:extLst>
            <a:ext uri="{FF2B5EF4-FFF2-40B4-BE49-F238E27FC236}">
              <a16:creationId xmlns:a16="http://schemas.microsoft.com/office/drawing/2014/main" id="{01B88DBB-BAEC-48DB-BBB6-654DDC9A1F2B}"/>
            </a:ext>
          </a:extLst>
        </xdr:cNvPr>
        <xdr:cNvSpPr txBox="1"/>
      </xdr:nvSpPr>
      <xdr:spPr>
        <a:xfrm>
          <a:off x="3962401" y="1415142"/>
          <a:ext cx="2362200" cy="56605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t>Total Expenses</a:t>
          </a:r>
          <a:endParaRPr lang="en-US" sz="1100" b="1"/>
        </a:p>
      </xdr:txBody>
    </xdr:sp>
    <xdr:clientData/>
  </xdr:twoCellAnchor>
  <xdr:twoCellAnchor>
    <xdr:from>
      <xdr:col>12</xdr:col>
      <xdr:colOff>119744</xdr:colOff>
      <xdr:row>7</xdr:row>
      <xdr:rowOff>97970</xdr:rowOff>
    </xdr:from>
    <xdr:to>
      <xdr:col>16</xdr:col>
      <xdr:colOff>43544</xdr:colOff>
      <xdr:row>10</xdr:row>
      <xdr:rowOff>108856</xdr:rowOff>
    </xdr:to>
    <xdr:sp macro="" textlink="">
      <xdr:nvSpPr>
        <xdr:cNvPr id="7" name="TextBox 6">
          <a:extLst>
            <a:ext uri="{FF2B5EF4-FFF2-40B4-BE49-F238E27FC236}">
              <a16:creationId xmlns:a16="http://schemas.microsoft.com/office/drawing/2014/main" id="{A19D5F8A-50A5-4B47-BCF1-C5E7D96B9EA4}"/>
            </a:ext>
          </a:extLst>
        </xdr:cNvPr>
        <xdr:cNvSpPr txBox="1"/>
      </xdr:nvSpPr>
      <xdr:spPr>
        <a:xfrm>
          <a:off x="7434944" y="1393370"/>
          <a:ext cx="2362200" cy="56605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t>Net</a:t>
          </a:r>
          <a:r>
            <a:rPr lang="en-US" sz="2400" b="1" baseline="0"/>
            <a:t> Savings</a:t>
          </a:r>
          <a:endParaRPr lang="en-US" sz="1100" b="1"/>
        </a:p>
      </xdr:txBody>
    </xdr:sp>
    <xdr:clientData/>
  </xdr:twoCellAnchor>
  <xdr:twoCellAnchor>
    <xdr:from>
      <xdr:col>17</xdr:col>
      <xdr:colOff>544284</xdr:colOff>
      <xdr:row>7</xdr:row>
      <xdr:rowOff>141515</xdr:rowOff>
    </xdr:from>
    <xdr:to>
      <xdr:col>21</xdr:col>
      <xdr:colOff>468084</xdr:colOff>
      <xdr:row>10</xdr:row>
      <xdr:rowOff>152401</xdr:rowOff>
    </xdr:to>
    <xdr:sp macro="" textlink="">
      <xdr:nvSpPr>
        <xdr:cNvPr id="8" name="TextBox 7">
          <a:extLst>
            <a:ext uri="{FF2B5EF4-FFF2-40B4-BE49-F238E27FC236}">
              <a16:creationId xmlns:a16="http://schemas.microsoft.com/office/drawing/2014/main" id="{F3434020-19CA-4532-AD1F-72A527284A65}"/>
            </a:ext>
          </a:extLst>
        </xdr:cNvPr>
        <xdr:cNvSpPr txBox="1"/>
      </xdr:nvSpPr>
      <xdr:spPr>
        <a:xfrm>
          <a:off x="10907484" y="1436915"/>
          <a:ext cx="2362200" cy="56605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t>Savings</a:t>
          </a:r>
          <a:r>
            <a:rPr lang="en-US" sz="2400" b="1" baseline="0"/>
            <a:t> Rate</a:t>
          </a:r>
          <a:endParaRPr lang="en-US" sz="1100" b="1"/>
        </a:p>
      </xdr:txBody>
    </xdr:sp>
    <xdr:clientData/>
  </xdr:twoCellAnchor>
  <xdr:twoCellAnchor>
    <xdr:from>
      <xdr:col>23</xdr:col>
      <xdr:colOff>239485</xdr:colOff>
      <xdr:row>7</xdr:row>
      <xdr:rowOff>152400</xdr:rowOff>
    </xdr:from>
    <xdr:to>
      <xdr:col>27</xdr:col>
      <xdr:colOff>163285</xdr:colOff>
      <xdr:row>10</xdr:row>
      <xdr:rowOff>163286</xdr:rowOff>
    </xdr:to>
    <xdr:sp macro="" textlink="">
      <xdr:nvSpPr>
        <xdr:cNvPr id="9" name="TextBox 8">
          <a:extLst>
            <a:ext uri="{FF2B5EF4-FFF2-40B4-BE49-F238E27FC236}">
              <a16:creationId xmlns:a16="http://schemas.microsoft.com/office/drawing/2014/main" id="{8BE0829C-7C2A-4F33-889A-240ADF5209DF}"/>
            </a:ext>
          </a:extLst>
        </xdr:cNvPr>
        <xdr:cNvSpPr txBox="1"/>
      </xdr:nvSpPr>
      <xdr:spPr>
        <a:xfrm>
          <a:off x="14260285" y="1447800"/>
          <a:ext cx="2362200" cy="56605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t>Budget</a:t>
          </a:r>
          <a:r>
            <a:rPr lang="en-US" sz="2000" b="1" baseline="0"/>
            <a:t> Utilization</a:t>
          </a:r>
          <a:endParaRPr lang="en-US" sz="1050" b="1"/>
        </a:p>
      </xdr:txBody>
    </xdr:sp>
    <xdr:clientData/>
  </xdr:twoCellAnchor>
  <xdr:twoCellAnchor>
    <xdr:from>
      <xdr:col>29</xdr:col>
      <xdr:colOff>43544</xdr:colOff>
      <xdr:row>7</xdr:row>
      <xdr:rowOff>108857</xdr:rowOff>
    </xdr:from>
    <xdr:to>
      <xdr:col>32</xdr:col>
      <xdr:colOff>576944</xdr:colOff>
      <xdr:row>10</xdr:row>
      <xdr:rowOff>119743</xdr:rowOff>
    </xdr:to>
    <xdr:sp macro="" textlink="">
      <xdr:nvSpPr>
        <xdr:cNvPr id="16" name="TextBox 15">
          <a:extLst>
            <a:ext uri="{FF2B5EF4-FFF2-40B4-BE49-F238E27FC236}">
              <a16:creationId xmlns:a16="http://schemas.microsoft.com/office/drawing/2014/main" id="{88877CC2-6DD6-4539-A35D-68A6F9FD1B00}"/>
            </a:ext>
          </a:extLst>
        </xdr:cNvPr>
        <xdr:cNvSpPr txBox="1"/>
      </xdr:nvSpPr>
      <xdr:spPr>
        <a:xfrm>
          <a:off x="17721944" y="1404257"/>
          <a:ext cx="2362200" cy="56605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t>Current</a:t>
          </a:r>
          <a:r>
            <a:rPr lang="en-US" sz="2400" b="1" baseline="0"/>
            <a:t> Balance</a:t>
          </a:r>
          <a:endParaRPr lang="en-US" sz="1100" b="1"/>
        </a:p>
      </xdr:txBody>
    </xdr:sp>
    <xdr:clientData/>
  </xdr:twoCellAnchor>
  <xdr:twoCellAnchor editAs="oneCell">
    <xdr:from>
      <xdr:col>0</xdr:col>
      <xdr:colOff>239486</xdr:colOff>
      <xdr:row>10</xdr:row>
      <xdr:rowOff>141514</xdr:rowOff>
    </xdr:from>
    <xdr:to>
      <xdr:col>1</xdr:col>
      <xdr:colOff>435429</xdr:colOff>
      <xdr:row>15</xdr:row>
      <xdr:rowOff>21772</xdr:rowOff>
    </xdr:to>
    <xdr:pic>
      <xdr:nvPicPr>
        <xdr:cNvPr id="18" name="Graphic 17" descr="Coins with solid fill">
          <a:extLst>
            <a:ext uri="{FF2B5EF4-FFF2-40B4-BE49-F238E27FC236}">
              <a16:creationId xmlns:a16="http://schemas.microsoft.com/office/drawing/2014/main" id="{25669BC5-F303-69B1-57AE-32DC9F66762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39486" y="1992085"/>
          <a:ext cx="805543" cy="805544"/>
        </a:xfrm>
        <a:prstGeom prst="rect">
          <a:avLst/>
        </a:prstGeom>
      </xdr:spPr>
    </xdr:pic>
    <xdr:clientData/>
  </xdr:twoCellAnchor>
  <xdr:twoCellAnchor editAs="oneCell">
    <xdr:from>
      <xdr:col>5</xdr:col>
      <xdr:colOff>555172</xdr:colOff>
      <xdr:row>10</xdr:row>
      <xdr:rowOff>130629</xdr:rowOff>
    </xdr:from>
    <xdr:to>
      <xdr:col>7</xdr:col>
      <xdr:colOff>195943</xdr:colOff>
      <xdr:row>15</xdr:row>
      <xdr:rowOff>43543</xdr:rowOff>
    </xdr:to>
    <xdr:pic>
      <xdr:nvPicPr>
        <xdr:cNvPr id="20" name="Graphic 19" descr="Bank with solid fill">
          <a:extLst>
            <a:ext uri="{FF2B5EF4-FFF2-40B4-BE49-F238E27FC236}">
              <a16:creationId xmlns:a16="http://schemas.microsoft.com/office/drawing/2014/main" id="{856F4691-9F31-4502-3B6D-3C3C82E9D2CF}"/>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3603172" y="1981200"/>
          <a:ext cx="859971" cy="838200"/>
        </a:xfrm>
        <a:prstGeom prst="rect">
          <a:avLst/>
        </a:prstGeom>
      </xdr:spPr>
    </xdr:pic>
    <xdr:clientData/>
  </xdr:twoCellAnchor>
  <xdr:twoCellAnchor editAs="oneCell">
    <xdr:from>
      <xdr:col>11</xdr:col>
      <xdr:colOff>424543</xdr:colOff>
      <xdr:row>10</xdr:row>
      <xdr:rowOff>152401</xdr:rowOff>
    </xdr:from>
    <xdr:to>
      <xdr:col>13</xdr:col>
      <xdr:colOff>43543</xdr:colOff>
      <xdr:row>15</xdr:row>
      <xdr:rowOff>32658</xdr:rowOff>
    </xdr:to>
    <xdr:pic>
      <xdr:nvPicPr>
        <xdr:cNvPr id="22" name="Graphic 21" descr="Money with solid fill">
          <a:extLst>
            <a:ext uri="{FF2B5EF4-FFF2-40B4-BE49-F238E27FC236}">
              <a16:creationId xmlns:a16="http://schemas.microsoft.com/office/drawing/2014/main" id="{2D0DAFBD-3262-FE0B-0BE9-4F0E22DB17BF}"/>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7130143" y="2002972"/>
          <a:ext cx="838200" cy="805543"/>
        </a:xfrm>
        <a:prstGeom prst="rect">
          <a:avLst/>
        </a:prstGeom>
      </xdr:spPr>
    </xdr:pic>
    <xdr:clientData/>
  </xdr:twoCellAnchor>
  <xdr:twoCellAnchor editAs="oneCell">
    <xdr:from>
      <xdr:col>17</xdr:col>
      <xdr:colOff>130629</xdr:colOff>
      <xdr:row>10</xdr:row>
      <xdr:rowOff>174172</xdr:rowOff>
    </xdr:from>
    <xdr:to>
      <xdr:col>18</xdr:col>
      <xdr:colOff>370115</xdr:colOff>
      <xdr:row>15</xdr:row>
      <xdr:rowOff>87086</xdr:rowOff>
    </xdr:to>
    <xdr:pic>
      <xdr:nvPicPr>
        <xdr:cNvPr id="31" name="Graphic 30" descr="Bar chart with solid fill">
          <a:extLst>
            <a:ext uri="{FF2B5EF4-FFF2-40B4-BE49-F238E27FC236}">
              <a16:creationId xmlns:a16="http://schemas.microsoft.com/office/drawing/2014/main" id="{1221CD68-D900-9F72-002A-731D6CC1C691}"/>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0493829" y="2024743"/>
          <a:ext cx="849086" cy="838200"/>
        </a:xfrm>
        <a:prstGeom prst="rect">
          <a:avLst/>
        </a:prstGeom>
      </xdr:spPr>
    </xdr:pic>
    <xdr:clientData/>
  </xdr:twoCellAnchor>
  <xdr:twoCellAnchor editAs="oneCell">
    <xdr:from>
      <xdr:col>28</xdr:col>
      <xdr:colOff>163286</xdr:colOff>
      <xdr:row>11</xdr:row>
      <xdr:rowOff>0</xdr:rowOff>
    </xdr:from>
    <xdr:to>
      <xdr:col>29</xdr:col>
      <xdr:colOff>391886</xdr:colOff>
      <xdr:row>15</xdr:row>
      <xdr:rowOff>87086</xdr:rowOff>
    </xdr:to>
    <xdr:pic>
      <xdr:nvPicPr>
        <xdr:cNvPr id="35" name="Graphic 34" descr="Hourglass Finished with solid fill">
          <a:extLst>
            <a:ext uri="{FF2B5EF4-FFF2-40B4-BE49-F238E27FC236}">
              <a16:creationId xmlns:a16="http://schemas.microsoft.com/office/drawing/2014/main" id="{B15F77D6-9F4A-1801-328E-1E3AF2CCAF63}"/>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7232086" y="2035629"/>
          <a:ext cx="838200" cy="827314"/>
        </a:xfrm>
        <a:prstGeom prst="rect">
          <a:avLst/>
        </a:prstGeom>
      </xdr:spPr>
    </xdr:pic>
    <xdr:clientData/>
  </xdr:twoCellAnchor>
  <xdr:twoCellAnchor editAs="oneCell">
    <xdr:from>
      <xdr:col>22</xdr:col>
      <xdr:colOff>313286</xdr:colOff>
      <xdr:row>0</xdr:row>
      <xdr:rowOff>130629</xdr:rowOff>
    </xdr:from>
    <xdr:to>
      <xdr:col>24</xdr:col>
      <xdr:colOff>99926</xdr:colOff>
      <xdr:row>6</xdr:row>
      <xdr:rowOff>26126</xdr:rowOff>
    </xdr:to>
    <xdr:pic macro="[0]!RefreshDashboard">
      <xdr:nvPicPr>
        <xdr:cNvPr id="37" name="Graphic 36" descr="Arrow circle with solid fill">
          <a:extLst>
            <a:ext uri="{FF2B5EF4-FFF2-40B4-BE49-F238E27FC236}">
              <a16:creationId xmlns:a16="http://schemas.microsoft.com/office/drawing/2014/main" id="{1D0EFAB3-D192-DBCA-99A4-F90932B6967F}"/>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3724486" y="130629"/>
          <a:ext cx="1005840" cy="1005840"/>
        </a:xfrm>
        <a:prstGeom prst="rect">
          <a:avLst/>
        </a:prstGeom>
      </xdr:spPr>
    </xdr:pic>
    <xdr:clientData/>
  </xdr:twoCellAnchor>
  <xdr:twoCellAnchor editAs="oneCell">
    <xdr:from>
      <xdr:col>22</xdr:col>
      <xdr:colOff>489857</xdr:colOff>
      <xdr:row>11</xdr:row>
      <xdr:rowOff>32657</xdr:rowOff>
    </xdr:from>
    <xdr:to>
      <xdr:col>24</xdr:col>
      <xdr:colOff>130628</xdr:colOff>
      <xdr:row>15</xdr:row>
      <xdr:rowOff>130629</xdr:rowOff>
    </xdr:to>
    <xdr:pic>
      <xdr:nvPicPr>
        <xdr:cNvPr id="39" name="Graphic 38" descr="Pie chart with solid fill">
          <a:extLst>
            <a:ext uri="{FF2B5EF4-FFF2-40B4-BE49-F238E27FC236}">
              <a16:creationId xmlns:a16="http://schemas.microsoft.com/office/drawing/2014/main" id="{4CB9A0E7-DB4C-ACBB-B217-DFC318BA9DB4}"/>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3901057" y="2068286"/>
          <a:ext cx="859971" cy="838200"/>
        </a:xfrm>
        <a:prstGeom prst="rect">
          <a:avLst/>
        </a:prstGeom>
      </xdr:spPr>
    </xdr:pic>
    <xdr:clientData/>
  </xdr:twoCellAnchor>
  <xdr:twoCellAnchor>
    <xdr:from>
      <xdr:col>1</xdr:col>
      <xdr:colOff>380999</xdr:colOff>
      <xdr:row>11</xdr:row>
      <xdr:rowOff>119741</xdr:rowOff>
    </xdr:from>
    <xdr:to>
      <xdr:col>5</xdr:col>
      <xdr:colOff>119742</xdr:colOff>
      <xdr:row>14</xdr:row>
      <xdr:rowOff>130627</xdr:rowOff>
    </xdr:to>
    <xdr:sp macro="" textlink="Pivot!C10">
      <xdr:nvSpPr>
        <xdr:cNvPr id="40" name="TextBox 39">
          <a:extLst>
            <a:ext uri="{FF2B5EF4-FFF2-40B4-BE49-F238E27FC236}">
              <a16:creationId xmlns:a16="http://schemas.microsoft.com/office/drawing/2014/main" id="{E1A93C19-888B-4AEC-82C6-C50AE937E72B}"/>
            </a:ext>
          </a:extLst>
        </xdr:cNvPr>
        <xdr:cNvSpPr txBox="1"/>
      </xdr:nvSpPr>
      <xdr:spPr>
        <a:xfrm>
          <a:off x="990599" y="2155370"/>
          <a:ext cx="2177143" cy="5660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4D4027F-9D9E-4115-A99C-6771ABD28B1F}" type="TxLink">
            <a:rPr lang="en-US" sz="2800" b="1" i="0" u="none" strike="noStrike">
              <a:solidFill>
                <a:srgbClr val="0070C0"/>
              </a:solidFill>
              <a:latin typeface="Aptos Narrow"/>
              <a:ea typeface="+mn-ea"/>
              <a:cs typeface="+mn-cs"/>
            </a:rPr>
            <a:pPr marL="0" indent="0" algn="ctr"/>
            <a:t>$1,550K</a:t>
          </a:fld>
          <a:endParaRPr lang="en-US" sz="2800" b="1" i="0" u="none" strike="noStrike">
            <a:solidFill>
              <a:srgbClr val="0070C0"/>
            </a:solidFill>
            <a:latin typeface="Aptos Narrow"/>
            <a:ea typeface="+mn-ea"/>
            <a:cs typeface="+mn-cs"/>
          </a:endParaRPr>
        </a:p>
      </xdr:txBody>
    </xdr:sp>
    <xdr:clientData/>
  </xdr:twoCellAnchor>
  <xdr:twoCellAnchor>
    <xdr:from>
      <xdr:col>7</xdr:col>
      <xdr:colOff>217715</xdr:colOff>
      <xdr:row>11</xdr:row>
      <xdr:rowOff>141514</xdr:rowOff>
    </xdr:from>
    <xdr:to>
      <xdr:col>10</xdr:col>
      <xdr:colOff>370115</xdr:colOff>
      <xdr:row>14</xdr:row>
      <xdr:rowOff>152400</xdr:rowOff>
    </xdr:to>
    <xdr:sp macro="" textlink="Pivot!C11">
      <xdr:nvSpPr>
        <xdr:cNvPr id="41" name="TextBox 40">
          <a:extLst>
            <a:ext uri="{FF2B5EF4-FFF2-40B4-BE49-F238E27FC236}">
              <a16:creationId xmlns:a16="http://schemas.microsoft.com/office/drawing/2014/main" id="{5A497B86-C6C8-4401-8661-A7EC937A266C}"/>
            </a:ext>
          </a:extLst>
        </xdr:cNvPr>
        <xdr:cNvSpPr txBox="1"/>
      </xdr:nvSpPr>
      <xdr:spPr>
        <a:xfrm>
          <a:off x="4484915" y="2177143"/>
          <a:ext cx="1981200" cy="5660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242537B-CD2B-4189-92E6-39625D205254}" type="TxLink">
            <a:rPr lang="en-US" sz="2800" b="1" i="0" u="none" strike="noStrike">
              <a:solidFill>
                <a:srgbClr val="0070C0"/>
              </a:solidFill>
              <a:latin typeface="Aptos Narrow"/>
              <a:ea typeface="+mn-ea"/>
              <a:cs typeface="+mn-cs"/>
            </a:rPr>
            <a:pPr marL="0" indent="0" algn="ctr"/>
            <a:t>$1,555K</a:t>
          </a:fld>
          <a:endParaRPr lang="en-US" sz="2800" b="1" i="0" u="none" strike="noStrike">
            <a:solidFill>
              <a:srgbClr val="0070C0"/>
            </a:solidFill>
            <a:latin typeface="Aptos Narrow"/>
            <a:ea typeface="+mn-ea"/>
            <a:cs typeface="+mn-cs"/>
          </a:endParaRPr>
        </a:p>
      </xdr:txBody>
    </xdr:sp>
    <xdr:clientData/>
  </xdr:twoCellAnchor>
  <xdr:twoCellAnchor>
    <xdr:from>
      <xdr:col>12</xdr:col>
      <xdr:colOff>533400</xdr:colOff>
      <xdr:row>11</xdr:row>
      <xdr:rowOff>130629</xdr:rowOff>
    </xdr:from>
    <xdr:to>
      <xdr:col>16</xdr:col>
      <xdr:colOff>163286</xdr:colOff>
      <xdr:row>14</xdr:row>
      <xdr:rowOff>141515</xdr:rowOff>
    </xdr:to>
    <xdr:sp macro="" textlink="Pivot!C12">
      <xdr:nvSpPr>
        <xdr:cNvPr id="42" name="TextBox 41">
          <a:extLst>
            <a:ext uri="{FF2B5EF4-FFF2-40B4-BE49-F238E27FC236}">
              <a16:creationId xmlns:a16="http://schemas.microsoft.com/office/drawing/2014/main" id="{2024666F-A322-496D-9294-F9050D2D669C}"/>
            </a:ext>
          </a:extLst>
        </xdr:cNvPr>
        <xdr:cNvSpPr txBox="1"/>
      </xdr:nvSpPr>
      <xdr:spPr>
        <a:xfrm>
          <a:off x="7848600" y="2166258"/>
          <a:ext cx="2068286" cy="5660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8EDF6B6-1F39-4A48-86CF-B90C81D959EA}" type="TxLink">
            <a:rPr lang="en-US" sz="2800" b="1" i="0" u="none" strike="noStrike">
              <a:solidFill>
                <a:srgbClr val="0070C0"/>
              </a:solidFill>
              <a:latin typeface="Aptos Narrow"/>
              <a:ea typeface="+mn-ea"/>
              <a:cs typeface="+mn-cs"/>
            </a:rPr>
            <a:pPr marL="0" indent="0" algn="ctr"/>
            <a:t>-$5295</a:t>
          </a:fld>
          <a:endParaRPr lang="en-US" sz="2800" b="1" i="0" u="none" strike="noStrike">
            <a:solidFill>
              <a:srgbClr val="0070C0"/>
            </a:solidFill>
            <a:latin typeface="Aptos Narrow"/>
            <a:ea typeface="+mn-ea"/>
            <a:cs typeface="+mn-cs"/>
          </a:endParaRPr>
        </a:p>
      </xdr:txBody>
    </xdr:sp>
    <xdr:clientData/>
  </xdr:twoCellAnchor>
  <xdr:twoCellAnchor>
    <xdr:from>
      <xdr:col>18</xdr:col>
      <xdr:colOff>424542</xdr:colOff>
      <xdr:row>11</xdr:row>
      <xdr:rowOff>141515</xdr:rowOff>
    </xdr:from>
    <xdr:to>
      <xdr:col>21</xdr:col>
      <xdr:colOff>511629</xdr:colOff>
      <xdr:row>14</xdr:row>
      <xdr:rowOff>152401</xdr:rowOff>
    </xdr:to>
    <xdr:sp macro="" textlink="Pivot!C13">
      <xdr:nvSpPr>
        <xdr:cNvPr id="43" name="TextBox 42">
          <a:extLst>
            <a:ext uri="{FF2B5EF4-FFF2-40B4-BE49-F238E27FC236}">
              <a16:creationId xmlns:a16="http://schemas.microsoft.com/office/drawing/2014/main" id="{89180E0C-E3D4-4800-A282-9AB408546F1D}"/>
            </a:ext>
          </a:extLst>
        </xdr:cNvPr>
        <xdr:cNvSpPr txBox="1"/>
      </xdr:nvSpPr>
      <xdr:spPr>
        <a:xfrm>
          <a:off x="11397342" y="2177144"/>
          <a:ext cx="1915887" cy="5660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F6EFB20-6391-4D29-9905-9660A4D02F3C}" type="TxLink">
            <a:rPr lang="en-US" sz="2800" b="1" i="0" u="none" strike="noStrike">
              <a:solidFill>
                <a:srgbClr val="0070C0"/>
              </a:solidFill>
              <a:latin typeface="Aptos Narrow"/>
              <a:ea typeface="+mn-ea"/>
              <a:cs typeface="+mn-cs"/>
            </a:rPr>
            <a:pPr marL="0" indent="0" algn="ctr"/>
            <a:t>-0.34%</a:t>
          </a:fld>
          <a:endParaRPr lang="en-US" sz="2800" b="1" i="0" u="none" strike="noStrike">
            <a:solidFill>
              <a:srgbClr val="0070C0"/>
            </a:solidFill>
            <a:latin typeface="Aptos Narrow"/>
            <a:ea typeface="+mn-ea"/>
            <a:cs typeface="+mn-cs"/>
          </a:endParaRPr>
        </a:p>
      </xdr:txBody>
    </xdr:sp>
    <xdr:clientData/>
  </xdr:twoCellAnchor>
  <xdr:twoCellAnchor>
    <xdr:from>
      <xdr:col>24</xdr:col>
      <xdr:colOff>261258</xdr:colOff>
      <xdr:row>11</xdr:row>
      <xdr:rowOff>163285</xdr:rowOff>
    </xdr:from>
    <xdr:to>
      <xdr:col>27</xdr:col>
      <xdr:colOff>304802</xdr:colOff>
      <xdr:row>14</xdr:row>
      <xdr:rowOff>174171</xdr:rowOff>
    </xdr:to>
    <xdr:sp macro="" textlink="Pivot!C14">
      <xdr:nvSpPr>
        <xdr:cNvPr id="44" name="TextBox 43">
          <a:extLst>
            <a:ext uri="{FF2B5EF4-FFF2-40B4-BE49-F238E27FC236}">
              <a16:creationId xmlns:a16="http://schemas.microsoft.com/office/drawing/2014/main" id="{585DA253-3BE3-4841-A886-51192ED13229}"/>
            </a:ext>
          </a:extLst>
        </xdr:cNvPr>
        <xdr:cNvSpPr txBox="1"/>
      </xdr:nvSpPr>
      <xdr:spPr>
        <a:xfrm>
          <a:off x="14891658" y="2198914"/>
          <a:ext cx="1872344" cy="5660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E214E04-BE49-42FA-9A34-78FE3D1158BF}" type="TxLink">
            <a:rPr lang="en-US" sz="2800" b="1" i="0" u="none" strike="noStrike">
              <a:solidFill>
                <a:srgbClr val="FF6600"/>
              </a:solidFill>
              <a:latin typeface="Aptos Narrow"/>
              <a:ea typeface="+mn-ea"/>
              <a:cs typeface="+mn-cs"/>
            </a:rPr>
            <a:pPr marL="0" indent="0" algn="ctr"/>
            <a:t>149%</a:t>
          </a:fld>
          <a:endParaRPr lang="en-US" sz="2800" b="1" i="0" u="none" strike="noStrike">
            <a:solidFill>
              <a:srgbClr val="FF6600"/>
            </a:solidFill>
            <a:latin typeface="Aptos Narrow"/>
            <a:ea typeface="+mn-ea"/>
            <a:cs typeface="+mn-cs"/>
          </a:endParaRPr>
        </a:p>
      </xdr:txBody>
    </xdr:sp>
    <xdr:clientData/>
  </xdr:twoCellAnchor>
  <xdr:twoCellAnchor>
    <xdr:from>
      <xdr:col>29</xdr:col>
      <xdr:colOff>468085</xdr:colOff>
      <xdr:row>11</xdr:row>
      <xdr:rowOff>119744</xdr:rowOff>
    </xdr:from>
    <xdr:to>
      <xdr:col>32</xdr:col>
      <xdr:colOff>544286</xdr:colOff>
      <xdr:row>14</xdr:row>
      <xdr:rowOff>130630</xdr:rowOff>
    </xdr:to>
    <xdr:sp macro="" textlink="Pivot!C15">
      <xdr:nvSpPr>
        <xdr:cNvPr id="45" name="TextBox 44">
          <a:extLst>
            <a:ext uri="{FF2B5EF4-FFF2-40B4-BE49-F238E27FC236}">
              <a16:creationId xmlns:a16="http://schemas.microsoft.com/office/drawing/2014/main" id="{92FD922B-81FE-4B2D-861C-91C0C2C3574E}"/>
            </a:ext>
          </a:extLst>
        </xdr:cNvPr>
        <xdr:cNvSpPr txBox="1"/>
      </xdr:nvSpPr>
      <xdr:spPr>
        <a:xfrm>
          <a:off x="18146485" y="2155373"/>
          <a:ext cx="1905001" cy="5660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A99C3F6-71D7-4EE7-8B4A-5318F8A1685F}" type="TxLink">
            <a:rPr lang="en-US" sz="2800" b="1" i="0" u="none" strike="noStrike">
              <a:solidFill>
                <a:srgbClr val="0070C0"/>
              </a:solidFill>
              <a:latin typeface="Aptos Narrow"/>
              <a:ea typeface="+mn-ea"/>
              <a:cs typeface="+mn-cs"/>
            </a:rPr>
            <a:pPr marL="0" indent="0" algn="ctr"/>
            <a:t>$126.4K</a:t>
          </a:fld>
          <a:endParaRPr lang="en-US" sz="2800" b="1" i="0" u="none" strike="noStrike">
            <a:solidFill>
              <a:srgbClr val="0070C0"/>
            </a:solidFill>
            <a:latin typeface="Aptos Narrow"/>
            <a:ea typeface="+mn-ea"/>
            <a:cs typeface="+mn-cs"/>
          </a:endParaRPr>
        </a:p>
      </xdr:txBody>
    </xdr:sp>
    <xdr:clientData/>
  </xdr:twoCellAnchor>
  <xdr:twoCellAnchor>
    <xdr:from>
      <xdr:col>1</xdr:col>
      <xdr:colOff>511628</xdr:colOff>
      <xdr:row>14</xdr:row>
      <xdr:rowOff>43543</xdr:rowOff>
    </xdr:from>
    <xdr:to>
      <xdr:col>4</xdr:col>
      <xdr:colOff>500743</xdr:colOff>
      <xdr:row>16</xdr:row>
      <xdr:rowOff>43544</xdr:rowOff>
    </xdr:to>
    <xdr:sp macro="" textlink="">
      <xdr:nvSpPr>
        <xdr:cNvPr id="46" name="TextBox 45">
          <a:extLst>
            <a:ext uri="{FF2B5EF4-FFF2-40B4-BE49-F238E27FC236}">
              <a16:creationId xmlns:a16="http://schemas.microsoft.com/office/drawing/2014/main" id="{A045ED98-3D4E-485B-8EB5-AE3AC993D5DC}"/>
            </a:ext>
          </a:extLst>
        </xdr:cNvPr>
        <xdr:cNvSpPr txBox="1"/>
      </xdr:nvSpPr>
      <xdr:spPr>
        <a:xfrm>
          <a:off x="1121228" y="2634343"/>
          <a:ext cx="1817915" cy="3701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1" i="0" u="none" strike="noStrike">
              <a:solidFill>
                <a:schemeClr val="tx1">
                  <a:lumMod val="50000"/>
                  <a:lumOff val="50000"/>
                </a:schemeClr>
              </a:solidFill>
              <a:latin typeface="Aptos Narrow"/>
            </a:rPr>
            <a:t> Income this Period</a:t>
          </a:r>
          <a:endParaRPr lang="en-US" sz="2800" b="1" i="0" u="none" strike="noStrike">
            <a:solidFill>
              <a:schemeClr val="tx1">
                <a:lumMod val="50000"/>
                <a:lumOff val="50000"/>
              </a:schemeClr>
            </a:solidFill>
            <a:latin typeface="Aptos Narrow"/>
          </a:endParaRPr>
        </a:p>
      </xdr:txBody>
    </xdr:sp>
    <xdr:clientData/>
  </xdr:twoCellAnchor>
  <xdr:twoCellAnchor>
    <xdr:from>
      <xdr:col>7</xdr:col>
      <xdr:colOff>217715</xdr:colOff>
      <xdr:row>13</xdr:row>
      <xdr:rowOff>185056</xdr:rowOff>
    </xdr:from>
    <xdr:to>
      <xdr:col>10</xdr:col>
      <xdr:colOff>206830</xdr:colOff>
      <xdr:row>16</xdr:row>
      <xdr:rowOff>0</xdr:rowOff>
    </xdr:to>
    <xdr:sp macro="" textlink="">
      <xdr:nvSpPr>
        <xdr:cNvPr id="47" name="TextBox 46">
          <a:extLst>
            <a:ext uri="{FF2B5EF4-FFF2-40B4-BE49-F238E27FC236}">
              <a16:creationId xmlns:a16="http://schemas.microsoft.com/office/drawing/2014/main" id="{F9120601-8310-4B54-9345-52AC762F4C5B}"/>
            </a:ext>
          </a:extLst>
        </xdr:cNvPr>
        <xdr:cNvSpPr txBox="1"/>
      </xdr:nvSpPr>
      <xdr:spPr>
        <a:xfrm>
          <a:off x="4484915" y="2590799"/>
          <a:ext cx="1817915" cy="3701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i="0" u="none" strike="noStrike">
              <a:solidFill>
                <a:schemeClr val="tx1">
                  <a:lumMod val="50000"/>
                  <a:lumOff val="50000"/>
                </a:schemeClr>
              </a:solidFill>
              <a:latin typeface="Aptos Narrow"/>
            </a:rPr>
            <a:t>Expenses this Period</a:t>
          </a:r>
          <a:endParaRPr lang="en-US" sz="2800" b="1" i="0" u="none" strike="noStrike">
            <a:solidFill>
              <a:schemeClr val="tx1">
                <a:lumMod val="50000"/>
                <a:lumOff val="50000"/>
              </a:schemeClr>
            </a:solidFill>
            <a:latin typeface="Aptos Narrow"/>
          </a:endParaRPr>
        </a:p>
      </xdr:txBody>
    </xdr:sp>
    <xdr:clientData/>
  </xdr:twoCellAnchor>
  <xdr:twoCellAnchor>
    <xdr:from>
      <xdr:col>13</xdr:col>
      <xdr:colOff>65314</xdr:colOff>
      <xdr:row>13</xdr:row>
      <xdr:rowOff>174170</xdr:rowOff>
    </xdr:from>
    <xdr:to>
      <xdr:col>16</xdr:col>
      <xdr:colOff>54429</xdr:colOff>
      <xdr:row>15</xdr:row>
      <xdr:rowOff>174171</xdr:rowOff>
    </xdr:to>
    <xdr:sp macro="" textlink="">
      <xdr:nvSpPr>
        <xdr:cNvPr id="48" name="TextBox 47">
          <a:extLst>
            <a:ext uri="{FF2B5EF4-FFF2-40B4-BE49-F238E27FC236}">
              <a16:creationId xmlns:a16="http://schemas.microsoft.com/office/drawing/2014/main" id="{59D0B20C-6CA1-4DE9-BD01-282196532D8D}"/>
            </a:ext>
          </a:extLst>
        </xdr:cNvPr>
        <xdr:cNvSpPr txBox="1"/>
      </xdr:nvSpPr>
      <xdr:spPr>
        <a:xfrm>
          <a:off x="7990114" y="2579913"/>
          <a:ext cx="1817915" cy="3701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i="0" u="none" strike="noStrike">
              <a:solidFill>
                <a:schemeClr val="tx1">
                  <a:lumMod val="50000"/>
                  <a:lumOff val="50000"/>
                </a:schemeClr>
              </a:solidFill>
              <a:latin typeface="Aptos Narrow"/>
            </a:rPr>
            <a:t> Income minus</a:t>
          </a:r>
          <a:r>
            <a:rPr lang="en-US" sz="1200" b="1" i="0" u="none" strike="noStrike" baseline="0">
              <a:solidFill>
                <a:schemeClr val="tx1">
                  <a:lumMod val="50000"/>
                  <a:lumOff val="50000"/>
                </a:schemeClr>
              </a:solidFill>
              <a:latin typeface="Aptos Narrow"/>
            </a:rPr>
            <a:t> Expenses</a:t>
          </a:r>
          <a:endParaRPr lang="en-US" sz="2800" b="1" i="0" u="none" strike="noStrike">
            <a:solidFill>
              <a:schemeClr val="tx1">
                <a:lumMod val="50000"/>
                <a:lumOff val="50000"/>
              </a:schemeClr>
            </a:solidFill>
            <a:latin typeface="Aptos Narrow"/>
          </a:endParaRPr>
        </a:p>
      </xdr:txBody>
    </xdr:sp>
    <xdr:clientData/>
  </xdr:twoCellAnchor>
  <xdr:twoCellAnchor>
    <xdr:from>
      <xdr:col>18</xdr:col>
      <xdr:colOff>326569</xdr:colOff>
      <xdr:row>14</xdr:row>
      <xdr:rowOff>10887</xdr:rowOff>
    </xdr:from>
    <xdr:to>
      <xdr:col>21</xdr:col>
      <xdr:colOff>315684</xdr:colOff>
      <xdr:row>16</xdr:row>
      <xdr:rowOff>10888</xdr:rowOff>
    </xdr:to>
    <xdr:sp macro="" textlink="">
      <xdr:nvSpPr>
        <xdr:cNvPr id="49" name="TextBox 48">
          <a:extLst>
            <a:ext uri="{FF2B5EF4-FFF2-40B4-BE49-F238E27FC236}">
              <a16:creationId xmlns:a16="http://schemas.microsoft.com/office/drawing/2014/main" id="{D2F3052C-5848-4A67-B56C-325CE939778F}"/>
            </a:ext>
          </a:extLst>
        </xdr:cNvPr>
        <xdr:cNvSpPr txBox="1"/>
      </xdr:nvSpPr>
      <xdr:spPr>
        <a:xfrm>
          <a:off x="11299369" y="2601687"/>
          <a:ext cx="1817915" cy="3701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1" i="0" u="none" strike="noStrike">
              <a:solidFill>
                <a:schemeClr val="tx1">
                  <a:lumMod val="50000"/>
                  <a:lumOff val="50000"/>
                </a:schemeClr>
              </a:solidFill>
              <a:latin typeface="Aptos Narrow"/>
            </a:rPr>
            <a:t>Of</a:t>
          </a:r>
          <a:r>
            <a:rPr lang="en-US" sz="1600" b="1" i="0" u="none" strike="noStrike" baseline="0">
              <a:solidFill>
                <a:schemeClr val="tx1">
                  <a:lumMod val="50000"/>
                  <a:lumOff val="50000"/>
                </a:schemeClr>
              </a:solidFill>
              <a:latin typeface="Aptos Narrow"/>
            </a:rPr>
            <a:t> Total Income</a:t>
          </a:r>
          <a:endParaRPr lang="en-US" sz="2800" b="1" i="0" u="none" strike="noStrike">
            <a:solidFill>
              <a:schemeClr val="tx1">
                <a:lumMod val="50000"/>
                <a:lumOff val="50000"/>
              </a:schemeClr>
            </a:solidFill>
            <a:latin typeface="Aptos Narrow"/>
          </a:endParaRPr>
        </a:p>
      </xdr:txBody>
    </xdr:sp>
    <xdr:clientData/>
  </xdr:twoCellAnchor>
  <xdr:twoCellAnchor>
    <xdr:from>
      <xdr:col>24</xdr:col>
      <xdr:colOff>152398</xdr:colOff>
      <xdr:row>14</xdr:row>
      <xdr:rowOff>10886</xdr:rowOff>
    </xdr:from>
    <xdr:to>
      <xdr:col>27</xdr:col>
      <xdr:colOff>141513</xdr:colOff>
      <xdr:row>16</xdr:row>
      <xdr:rowOff>10887</xdr:rowOff>
    </xdr:to>
    <xdr:sp macro="" textlink="">
      <xdr:nvSpPr>
        <xdr:cNvPr id="50" name="TextBox 49">
          <a:extLst>
            <a:ext uri="{FF2B5EF4-FFF2-40B4-BE49-F238E27FC236}">
              <a16:creationId xmlns:a16="http://schemas.microsoft.com/office/drawing/2014/main" id="{4A3B3F0F-3143-4544-8A63-3C79878A40FB}"/>
            </a:ext>
          </a:extLst>
        </xdr:cNvPr>
        <xdr:cNvSpPr txBox="1"/>
      </xdr:nvSpPr>
      <xdr:spPr>
        <a:xfrm>
          <a:off x="14782798" y="2601686"/>
          <a:ext cx="1817915" cy="3701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1" i="0" u="none" strike="noStrike">
              <a:solidFill>
                <a:schemeClr val="tx1">
                  <a:lumMod val="50000"/>
                  <a:lumOff val="50000"/>
                </a:schemeClr>
              </a:solidFill>
              <a:latin typeface="Aptos Narrow"/>
            </a:rPr>
            <a:t>Spent</a:t>
          </a:r>
          <a:r>
            <a:rPr lang="en-US" sz="1600" b="1" i="0" u="none" strike="noStrike" baseline="0">
              <a:solidFill>
                <a:schemeClr val="tx1">
                  <a:lumMod val="50000"/>
                  <a:lumOff val="50000"/>
                </a:schemeClr>
              </a:solidFill>
              <a:latin typeface="Aptos Narrow"/>
            </a:rPr>
            <a:t> vs Budgeted</a:t>
          </a:r>
          <a:endParaRPr lang="en-US" sz="2800" b="1" i="0" u="none" strike="noStrike">
            <a:solidFill>
              <a:schemeClr val="tx1">
                <a:lumMod val="50000"/>
                <a:lumOff val="50000"/>
              </a:schemeClr>
            </a:solidFill>
            <a:latin typeface="Aptos Narrow"/>
          </a:endParaRPr>
        </a:p>
      </xdr:txBody>
    </xdr:sp>
    <xdr:clientData/>
  </xdr:twoCellAnchor>
  <xdr:twoCellAnchor>
    <xdr:from>
      <xdr:col>29</xdr:col>
      <xdr:colOff>457200</xdr:colOff>
      <xdr:row>13</xdr:row>
      <xdr:rowOff>152400</xdr:rowOff>
    </xdr:from>
    <xdr:to>
      <xdr:col>32</xdr:col>
      <xdr:colOff>446315</xdr:colOff>
      <xdr:row>15</xdr:row>
      <xdr:rowOff>152401</xdr:rowOff>
    </xdr:to>
    <xdr:sp macro="" textlink="">
      <xdr:nvSpPr>
        <xdr:cNvPr id="51" name="TextBox 50">
          <a:extLst>
            <a:ext uri="{FF2B5EF4-FFF2-40B4-BE49-F238E27FC236}">
              <a16:creationId xmlns:a16="http://schemas.microsoft.com/office/drawing/2014/main" id="{FA73CA96-3662-466D-9EDB-0AB7497E2301}"/>
            </a:ext>
          </a:extLst>
        </xdr:cNvPr>
        <xdr:cNvSpPr txBox="1"/>
      </xdr:nvSpPr>
      <xdr:spPr>
        <a:xfrm>
          <a:off x="18135600" y="2558143"/>
          <a:ext cx="1817915" cy="3701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1" i="0" u="none" strike="noStrike">
              <a:solidFill>
                <a:schemeClr val="tx1">
                  <a:lumMod val="50000"/>
                  <a:lumOff val="50000"/>
                </a:schemeClr>
              </a:solidFill>
              <a:latin typeface="Aptos Narrow"/>
            </a:rPr>
            <a:t>Latest</a:t>
          </a:r>
          <a:r>
            <a:rPr lang="en-US" sz="1600" b="1" i="0" u="none" strike="noStrike" baseline="0">
              <a:solidFill>
                <a:schemeClr val="tx1">
                  <a:lumMod val="50000"/>
                  <a:lumOff val="50000"/>
                </a:schemeClr>
              </a:solidFill>
              <a:latin typeface="Aptos Narrow"/>
            </a:rPr>
            <a:t> Balance</a:t>
          </a:r>
          <a:endParaRPr lang="en-US" sz="2800" b="1" i="0" u="none" strike="noStrike">
            <a:solidFill>
              <a:schemeClr val="tx1">
                <a:lumMod val="50000"/>
                <a:lumOff val="50000"/>
              </a:schemeClr>
            </a:solidFill>
            <a:latin typeface="Aptos Narrow"/>
          </a:endParaRPr>
        </a:p>
      </xdr:txBody>
    </xdr:sp>
    <xdr:clientData/>
  </xdr:twoCellAnchor>
  <xdr:twoCellAnchor>
    <xdr:from>
      <xdr:col>0</xdr:col>
      <xdr:colOff>206829</xdr:colOff>
      <xdr:row>17</xdr:row>
      <xdr:rowOff>163288</xdr:rowOff>
    </xdr:from>
    <xdr:to>
      <xdr:col>3</xdr:col>
      <xdr:colOff>97971</xdr:colOff>
      <xdr:row>55</xdr:row>
      <xdr:rowOff>152400</xdr:rowOff>
    </xdr:to>
    <xdr:sp macro="" textlink="">
      <xdr:nvSpPr>
        <xdr:cNvPr id="52" name="Rectangle: Rounded Corners 51">
          <a:extLst>
            <a:ext uri="{FF2B5EF4-FFF2-40B4-BE49-F238E27FC236}">
              <a16:creationId xmlns:a16="http://schemas.microsoft.com/office/drawing/2014/main" id="{64738DC7-002A-4C4E-991E-B8F70817B6AB}"/>
            </a:ext>
          </a:extLst>
        </xdr:cNvPr>
        <xdr:cNvSpPr/>
      </xdr:nvSpPr>
      <xdr:spPr>
        <a:xfrm>
          <a:off x="206829" y="3309259"/>
          <a:ext cx="1719942" cy="7021284"/>
        </a:xfrm>
        <a:prstGeom prst="roundRect">
          <a:avLst>
            <a:gd name="adj" fmla="val 9072"/>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228600</xdr:colOff>
      <xdr:row>18</xdr:row>
      <xdr:rowOff>21773</xdr:rowOff>
    </xdr:from>
    <xdr:to>
      <xdr:col>12</xdr:col>
      <xdr:colOff>576943</xdr:colOff>
      <xdr:row>36</xdr:row>
      <xdr:rowOff>108858</xdr:rowOff>
    </xdr:to>
    <xdr:sp macro="" textlink="">
      <xdr:nvSpPr>
        <xdr:cNvPr id="53" name="Rectangle: Rounded Corners 52">
          <a:extLst>
            <a:ext uri="{FF2B5EF4-FFF2-40B4-BE49-F238E27FC236}">
              <a16:creationId xmlns:a16="http://schemas.microsoft.com/office/drawing/2014/main" id="{A6B55600-34C3-4B3D-89C6-874823175CAE}"/>
            </a:ext>
          </a:extLst>
        </xdr:cNvPr>
        <xdr:cNvSpPr/>
      </xdr:nvSpPr>
      <xdr:spPr>
        <a:xfrm>
          <a:off x="2057400" y="3352802"/>
          <a:ext cx="5834743" cy="3418113"/>
        </a:xfrm>
        <a:prstGeom prst="roundRect">
          <a:avLst>
            <a:gd name="adj" fmla="val 5520"/>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195944</xdr:colOff>
      <xdr:row>37</xdr:row>
      <xdr:rowOff>2</xdr:rowOff>
    </xdr:from>
    <xdr:to>
      <xdr:col>10</xdr:col>
      <xdr:colOff>587829</xdr:colOff>
      <xdr:row>55</xdr:row>
      <xdr:rowOff>54429</xdr:rowOff>
    </xdr:to>
    <xdr:sp macro="" textlink="">
      <xdr:nvSpPr>
        <xdr:cNvPr id="54" name="Rectangle: Rounded Corners 53">
          <a:extLst>
            <a:ext uri="{FF2B5EF4-FFF2-40B4-BE49-F238E27FC236}">
              <a16:creationId xmlns:a16="http://schemas.microsoft.com/office/drawing/2014/main" id="{C1B29888-10DA-41C7-8559-035988DAF081}"/>
            </a:ext>
          </a:extLst>
        </xdr:cNvPr>
        <xdr:cNvSpPr/>
      </xdr:nvSpPr>
      <xdr:spPr>
        <a:xfrm>
          <a:off x="2024744" y="6847116"/>
          <a:ext cx="4659085" cy="3385456"/>
        </a:xfrm>
        <a:prstGeom prst="roundRect">
          <a:avLst>
            <a:gd name="adj" fmla="val 5734"/>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65315</xdr:colOff>
      <xdr:row>18</xdr:row>
      <xdr:rowOff>10884</xdr:rowOff>
    </xdr:from>
    <xdr:to>
      <xdr:col>19</xdr:col>
      <xdr:colOff>555172</xdr:colOff>
      <xdr:row>36</xdr:row>
      <xdr:rowOff>119742</xdr:rowOff>
    </xdr:to>
    <xdr:sp macro="" textlink="">
      <xdr:nvSpPr>
        <xdr:cNvPr id="55" name="Rectangle: Rounded Corners 54">
          <a:extLst>
            <a:ext uri="{FF2B5EF4-FFF2-40B4-BE49-F238E27FC236}">
              <a16:creationId xmlns:a16="http://schemas.microsoft.com/office/drawing/2014/main" id="{693CA6C5-ED94-44C8-8A24-0CFB58E0E418}"/>
            </a:ext>
          </a:extLst>
        </xdr:cNvPr>
        <xdr:cNvSpPr/>
      </xdr:nvSpPr>
      <xdr:spPr>
        <a:xfrm>
          <a:off x="7990115" y="3341913"/>
          <a:ext cx="4147457" cy="3439886"/>
        </a:xfrm>
        <a:prstGeom prst="roundRect">
          <a:avLst>
            <a:gd name="adj" fmla="val 4009"/>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32658</xdr:colOff>
      <xdr:row>18</xdr:row>
      <xdr:rowOff>21772</xdr:rowOff>
    </xdr:from>
    <xdr:to>
      <xdr:col>26</xdr:col>
      <xdr:colOff>544285</xdr:colOff>
      <xdr:row>36</xdr:row>
      <xdr:rowOff>130630</xdr:rowOff>
    </xdr:to>
    <xdr:sp macro="" textlink="">
      <xdr:nvSpPr>
        <xdr:cNvPr id="56" name="Rectangle: Rounded Corners 55">
          <a:extLst>
            <a:ext uri="{FF2B5EF4-FFF2-40B4-BE49-F238E27FC236}">
              <a16:creationId xmlns:a16="http://schemas.microsoft.com/office/drawing/2014/main" id="{0D4494B4-3337-4ABB-845F-80164CB2592B}"/>
            </a:ext>
          </a:extLst>
        </xdr:cNvPr>
        <xdr:cNvSpPr/>
      </xdr:nvSpPr>
      <xdr:spPr>
        <a:xfrm>
          <a:off x="12224658" y="3352801"/>
          <a:ext cx="4169227" cy="3439886"/>
        </a:xfrm>
        <a:prstGeom prst="roundRect">
          <a:avLst>
            <a:gd name="adj" fmla="val 5591"/>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27</xdr:col>
      <xdr:colOff>65314</xdr:colOff>
      <xdr:row>18</xdr:row>
      <xdr:rowOff>-1</xdr:rowOff>
    </xdr:from>
    <xdr:to>
      <xdr:col>33</xdr:col>
      <xdr:colOff>489857</xdr:colOff>
      <xdr:row>36</xdr:row>
      <xdr:rowOff>108857</xdr:rowOff>
    </xdr:to>
    <xdr:sp macro="" textlink="">
      <xdr:nvSpPr>
        <xdr:cNvPr id="57" name="Rectangle: Rounded Corners 56">
          <a:extLst>
            <a:ext uri="{FF2B5EF4-FFF2-40B4-BE49-F238E27FC236}">
              <a16:creationId xmlns:a16="http://schemas.microsoft.com/office/drawing/2014/main" id="{7DD355F7-FED1-456D-A7E6-43EA04D7AB4B}"/>
            </a:ext>
          </a:extLst>
        </xdr:cNvPr>
        <xdr:cNvSpPr/>
      </xdr:nvSpPr>
      <xdr:spPr>
        <a:xfrm>
          <a:off x="16524514" y="3331028"/>
          <a:ext cx="4082143" cy="3439886"/>
        </a:xfrm>
        <a:prstGeom prst="roundRect">
          <a:avLst>
            <a:gd name="adj" fmla="val 4642"/>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119744</xdr:colOff>
      <xdr:row>37</xdr:row>
      <xdr:rowOff>1</xdr:rowOff>
    </xdr:from>
    <xdr:to>
      <xdr:col>17</xdr:col>
      <xdr:colOff>250371</xdr:colOff>
      <xdr:row>55</xdr:row>
      <xdr:rowOff>108858</xdr:rowOff>
    </xdr:to>
    <xdr:sp macro="" textlink="">
      <xdr:nvSpPr>
        <xdr:cNvPr id="58" name="Rectangle: Rounded Corners 57">
          <a:extLst>
            <a:ext uri="{FF2B5EF4-FFF2-40B4-BE49-F238E27FC236}">
              <a16:creationId xmlns:a16="http://schemas.microsoft.com/office/drawing/2014/main" id="{CC037CF3-A1A0-4995-8464-5CCD551458BE}"/>
            </a:ext>
          </a:extLst>
        </xdr:cNvPr>
        <xdr:cNvSpPr/>
      </xdr:nvSpPr>
      <xdr:spPr>
        <a:xfrm>
          <a:off x="6825344" y="6847115"/>
          <a:ext cx="3788227" cy="3439886"/>
        </a:xfrm>
        <a:prstGeom prst="roundRect">
          <a:avLst>
            <a:gd name="adj" fmla="val 5907"/>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348342</xdr:colOff>
      <xdr:row>37</xdr:row>
      <xdr:rowOff>32657</xdr:rowOff>
    </xdr:from>
    <xdr:to>
      <xdr:col>26</xdr:col>
      <xdr:colOff>359229</xdr:colOff>
      <xdr:row>55</xdr:row>
      <xdr:rowOff>141514</xdr:rowOff>
    </xdr:to>
    <xdr:sp macro="" textlink="">
      <xdr:nvSpPr>
        <xdr:cNvPr id="59" name="Rectangle: Rounded Corners 58">
          <a:extLst>
            <a:ext uri="{FF2B5EF4-FFF2-40B4-BE49-F238E27FC236}">
              <a16:creationId xmlns:a16="http://schemas.microsoft.com/office/drawing/2014/main" id="{73EF903F-F479-414F-8934-EE3006C3257D}"/>
            </a:ext>
          </a:extLst>
        </xdr:cNvPr>
        <xdr:cNvSpPr/>
      </xdr:nvSpPr>
      <xdr:spPr>
        <a:xfrm>
          <a:off x="10711542" y="6879771"/>
          <a:ext cx="5497287" cy="3439886"/>
        </a:xfrm>
        <a:prstGeom prst="roundRect">
          <a:avLst>
            <a:gd name="adj" fmla="val 4958"/>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26</xdr:col>
      <xdr:colOff>468086</xdr:colOff>
      <xdr:row>36</xdr:row>
      <xdr:rowOff>174173</xdr:rowOff>
    </xdr:from>
    <xdr:to>
      <xdr:col>33</xdr:col>
      <xdr:colOff>489857</xdr:colOff>
      <xdr:row>55</xdr:row>
      <xdr:rowOff>97973</xdr:rowOff>
    </xdr:to>
    <xdr:sp macro="" textlink="">
      <xdr:nvSpPr>
        <xdr:cNvPr id="60" name="Rectangle: Rounded Corners 59">
          <a:extLst>
            <a:ext uri="{FF2B5EF4-FFF2-40B4-BE49-F238E27FC236}">
              <a16:creationId xmlns:a16="http://schemas.microsoft.com/office/drawing/2014/main" id="{75DD97D5-9469-478B-B319-3CD841FD5AB5}"/>
            </a:ext>
          </a:extLst>
        </xdr:cNvPr>
        <xdr:cNvSpPr/>
      </xdr:nvSpPr>
      <xdr:spPr>
        <a:xfrm>
          <a:off x="16317686" y="6836230"/>
          <a:ext cx="4288971" cy="3439886"/>
        </a:xfrm>
        <a:prstGeom prst="roundRect">
          <a:avLst>
            <a:gd name="adj" fmla="val 6540"/>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326571</xdr:colOff>
      <xdr:row>18</xdr:row>
      <xdr:rowOff>97971</xdr:rowOff>
    </xdr:from>
    <xdr:to>
      <xdr:col>12</xdr:col>
      <xdr:colOff>457200</xdr:colOff>
      <xdr:row>35</xdr:row>
      <xdr:rowOff>152400</xdr:rowOff>
    </xdr:to>
    <xdr:graphicFrame macro="">
      <xdr:nvGraphicFramePr>
        <xdr:cNvPr id="61" name="Chart 60">
          <a:extLst>
            <a:ext uri="{FF2B5EF4-FFF2-40B4-BE49-F238E27FC236}">
              <a16:creationId xmlns:a16="http://schemas.microsoft.com/office/drawing/2014/main" id="{9EB57E6C-BA6F-4C30-B94C-B29D66804FE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108857</xdr:colOff>
      <xdr:row>18</xdr:row>
      <xdr:rowOff>65314</xdr:rowOff>
    </xdr:from>
    <xdr:to>
      <xdr:col>19</xdr:col>
      <xdr:colOff>489857</xdr:colOff>
      <xdr:row>36</xdr:row>
      <xdr:rowOff>21771</xdr:rowOff>
    </xdr:to>
    <xdr:graphicFrame macro="">
      <xdr:nvGraphicFramePr>
        <xdr:cNvPr id="62" name="Chart 61">
          <a:extLst>
            <a:ext uri="{FF2B5EF4-FFF2-40B4-BE49-F238E27FC236}">
              <a16:creationId xmlns:a16="http://schemas.microsoft.com/office/drawing/2014/main" id="{F70090BF-695A-4B79-B62C-921CC3E87BC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20</xdr:col>
      <xdr:colOff>65313</xdr:colOff>
      <xdr:row>18</xdr:row>
      <xdr:rowOff>97971</xdr:rowOff>
    </xdr:from>
    <xdr:to>
      <xdr:col>26</xdr:col>
      <xdr:colOff>489857</xdr:colOff>
      <xdr:row>36</xdr:row>
      <xdr:rowOff>32656</xdr:rowOff>
    </xdr:to>
    <xdr:graphicFrame macro="">
      <xdr:nvGraphicFramePr>
        <xdr:cNvPr id="63" name="Chart 62">
          <a:extLst>
            <a:ext uri="{FF2B5EF4-FFF2-40B4-BE49-F238E27FC236}">
              <a16:creationId xmlns:a16="http://schemas.microsoft.com/office/drawing/2014/main" id="{7C718802-A0C1-4589-9C60-D199E8A0D62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27</xdr:col>
      <xdr:colOff>141515</xdr:colOff>
      <xdr:row>18</xdr:row>
      <xdr:rowOff>97971</xdr:rowOff>
    </xdr:from>
    <xdr:to>
      <xdr:col>33</xdr:col>
      <xdr:colOff>370115</xdr:colOff>
      <xdr:row>36</xdr:row>
      <xdr:rowOff>32656</xdr:rowOff>
    </xdr:to>
    <mc:AlternateContent xmlns:mc="http://schemas.openxmlformats.org/markup-compatibility/2006">
      <mc:Choice xmlns:cx1="http://schemas.microsoft.com/office/drawing/2015/9/8/chartex" Requires="cx1">
        <xdr:graphicFrame macro="">
          <xdr:nvGraphicFramePr>
            <xdr:cNvPr id="17" name="Chart 16">
              <a:extLst>
                <a:ext uri="{FF2B5EF4-FFF2-40B4-BE49-F238E27FC236}">
                  <a16:creationId xmlns:a16="http://schemas.microsoft.com/office/drawing/2014/main" id="{207C9B0A-C6F9-48A7-9958-DF8725564B44}"/>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8"/>
            </a:graphicData>
          </a:graphic>
        </xdr:graphicFrame>
      </mc:Choice>
      <mc:Fallback>
        <xdr:sp macro="" textlink="">
          <xdr:nvSpPr>
            <xdr:cNvPr id="0" name=""/>
            <xdr:cNvSpPr>
              <a:spLocks noTextEdit="1"/>
            </xdr:cNvSpPr>
          </xdr:nvSpPr>
          <xdr:spPr>
            <a:xfrm>
              <a:off x="16600715" y="3389811"/>
              <a:ext cx="3886200" cy="322652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3</xdr:col>
      <xdr:colOff>283029</xdr:colOff>
      <xdr:row>37</xdr:row>
      <xdr:rowOff>119743</xdr:rowOff>
    </xdr:from>
    <xdr:to>
      <xdr:col>10</xdr:col>
      <xdr:colOff>500744</xdr:colOff>
      <xdr:row>54</xdr:row>
      <xdr:rowOff>87084</xdr:rowOff>
    </xdr:to>
    <xdr:graphicFrame macro="">
      <xdr:nvGraphicFramePr>
        <xdr:cNvPr id="19" name="Chart 18">
          <a:extLst>
            <a:ext uri="{FF2B5EF4-FFF2-40B4-BE49-F238E27FC236}">
              <a16:creationId xmlns:a16="http://schemas.microsoft.com/office/drawing/2014/main" id="{FA43BD39-64C1-474D-9C6C-E1B24CF62E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11</xdr:col>
      <xdr:colOff>185057</xdr:colOff>
      <xdr:row>37</xdr:row>
      <xdr:rowOff>119743</xdr:rowOff>
    </xdr:from>
    <xdr:to>
      <xdr:col>17</xdr:col>
      <xdr:colOff>185057</xdr:colOff>
      <xdr:row>55</xdr:row>
      <xdr:rowOff>65314</xdr:rowOff>
    </xdr:to>
    <xdr:graphicFrame macro="">
      <xdr:nvGraphicFramePr>
        <xdr:cNvPr id="21" name="Chart 20">
          <a:extLst>
            <a:ext uri="{FF2B5EF4-FFF2-40B4-BE49-F238E27FC236}">
              <a16:creationId xmlns:a16="http://schemas.microsoft.com/office/drawing/2014/main" id="{8FAA99D0-8B70-483A-AE3B-AAA0E73549E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17</xdr:col>
      <xdr:colOff>391885</xdr:colOff>
      <xdr:row>37</xdr:row>
      <xdr:rowOff>130628</xdr:rowOff>
    </xdr:from>
    <xdr:to>
      <xdr:col>26</xdr:col>
      <xdr:colOff>283028</xdr:colOff>
      <xdr:row>55</xdr:row>
      <xdr:rowOff>54428</xdr:rowOff>
    </xdr:to>
    <xdr:graphicFrame macro="">
      <xdr:nvGraphicFramePr>
        <xdr:cNvPr id="23" name="Chart 22">
          <a:extLst>
            <a:ext uri="{FF2B5EF4-FFF2-40B4-BE49-F238E27FC236}">
              <a16:creationId xmlns:a16="http://schemas.microsoft.com/office/drawing/2014/main" id="{A39F502B-5913-45D7-90D0-8E24CE0809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26</xdr:col>
      <xdr:colOff>489857</xdr:colOff>
      <xdr:row>37</xdr:row>
      <xdr:rowOff>65315</xdr:rowOff>
    </xdr:from>
    <xdr:to>
      <xdr:col>33</xdr:col>
      <xdr:colOff>381000</xdr:colOff>
      <xdr:row>55</xdr:row>
      <xdr:rowOff>21771</xdr:rowOff>
    </xdr:to>
    <xdr:graphicFrame macro="">
      <xdr:nvGraphicFramePr>
        <xdr:cNvPr id="24" name="Chart 23">
          <a:extLst>
            <a:ext uri="{FF2B5EF4-FFF2-40B4-BE49-F238E27FC236}">
              <a16:creationId xmlns:a16="http://schemas.microsoft.com/office/drawing/2014/main" id="{72299315-4381-4D30-8252-23F3BA9F0E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editAs="oneCell">
    <xdr:from>
      <xdr:col>0</xdr:col>
      <xdr:colOff>272143</xdr:colOff>
      <xdr:row>18</xdr:row>
      <xdr:rowOff>65314</xdr:rowOff>
    </xdr:from>
    <xdr:to>
      <xdr:col>3</xdr:col>
      <xdr:colOff>10886</xdr:colOff>
      <xdr:row>34</xdr:row>
      <xdr:rowOff>152399</xdr:rowOff>
    </xdr:to>
    <mc:AlternateContent xmlns:mc="http://schemas.openxmlformats.org/markup-compatibility/2006" xmlns:a14="http://schemas.microsoft.com/office/drawing/2010/main">
      <mc:Choice Requires="a14">
        <xdr:graphicFrame macro="">
          <xdr:nvGraphicFramePr>
            <xdr:cNvPr id="25" name="Month">
              <a:extLst>
                <a:ext uri="{FF2B5EF4-FFF2-40B4-BE49-F238E27FC236}">
                  <a16:creationId xmlns:a16="http://schemas.microsoft.com/office/drawing/2014/main" id="{CFE957BD-2966-436B-A2B5-0680294A2A9B}"/>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272143" y="3396343"/>
              <a:ext cx="1567543" cy="3047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250371</xdr:colOff>
      <xdr:row>35</xdr:row>
      <xdr:rowOff>119745</xdr:rowOff>
    </xdr:from>
    <xdr:to>
      <xdr:col>2</xdr:col>
      <xdr:colOff>600891</xdr:colOff>
      <xdr:row>55</xdr:row>
      <xdr:rowOff>1</xdr:rowOff>
    </xdr:to>
    <mc:AlternateContent xmlns:mc="http://schemas.openxmlformats.org/markup-compatibility/2006" xmlns:a14="http://schemas.microsoft.com/office/drawing/2010/main">
      <mc:Choice Requires="a14">
        <xdr:graphicFrame macro="">
          <xdr:nvGraphicFramePr>
            <xdr:cNvPr id="26" name="Payment Method">
              <a:extLst>
                <a:ext uri="{FF2B5EF4-FFF2-40B4-BE49-F238E27FC236}">
                  <a16:creationId xmlns:a16="http://schemas.microsoft.com/office/drawing/2014/main" id="{63C384BF-C435-4283-9A2F-A8FE21C0860C}"/>
                </a:ext>
              </a:extLst>
            </xdr:cNvPr>
            <xdr:cNvGraphicFramePr/>
          </xdr:nvGraphicFramePr>
          <xdr:xfrm>
            <a:off x="0" y="0"/>
            <a:ext cx="0" cy="0"/>
          </xdr:xfrm>
          <a:graphic>
            <a:graphicData uri="http://schemas.microsoft.com/office/drawing/2010/slicer">
              <sle:slicer xmlns:sle="http://schemas.microsoft.com/office/drawing/2010/slicer" name="Payment Method"/>
            </a:graphicData>
          </a:graphic>
        </xdr:graphicFrame>
      </mc:Choice>
      <mc:Fallback xmlns="">
        <xdr:sp macro="" textlink="">
          <xdr:nvSpPr>
            <xdr:cNvPr id="0" name=""/>
            <xdr:cNvSpPr>
              <a:spLocks noTextEdit="1"/>
            </xdr:cNvSpPr>
          </xdr:nvSpPr>
          <xdr:spPr>
            <a:xfrm>
              <a:off x="250371" y="6596745"/>
              <a:ext cx="1569720" cy="35813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6282.581055324074" missingItemsLimit="0" createdVersion="8" refreshedVersion="8" minRefreshableVersion="3" recordCount="200" xr:uid="{B44E7AE4-39FB-4B2D-95EE-CF15A97C5985}">
  <cacheSource type="worksheet">
    <worksheetSource name="personal_finance_dashboard_data_200_rows"/>
  </cacheSource>
  <cacheFields count="22">
    <cacheField name="Transaction ID" numFmtId="0">
      <sharedItems/>
    </cacheField>
    <cacheField name="Date" numFmtId="14">
      <sharedItems containsSemiMixedTypes="0" containsNonDate="0" containsDate="1" containsString="0" minDate="2026-01-03T00:00:00" maxDate="2026-07-02T00:00:00"/>
    </cacheField>
    <cacheField name="Year" numFmtId="0">
      <sharedItems containsSemiMixedTypes="0" containsString="0" containsNumber="1" containsInteger="1" minValue="2026" maxValue="2026"/>
    </cacheField>
    <cacheField name="Bank" numFmtId="0">
      <sharedItems count="4">
        <s v="HDFC"/>
        <s v="Axis"/>
        <s v="SBI"/>
        <s v="ICICI"/>
      </sharedItems>
    </cacheField>
    <cacheField name="Transaction Type" numFmtId="0">
      <sharedItems count="2">
        <s v="Expense"/>
        <s v="Income"/>
      </sharedItems>
    </cacheField>
    <cacheField name="Category" numFmtId="0">
      <sharedItems count="13">
        <s v="Shopping"/>
        <s v="Healthcare"/>
        <s v="Interest"/>
        <s v="Food"/>
        <s v="Electricity"/>
        <s v="Salary"/>
        <s v="Internet"/>
        <s v="Transport"/>
        <s v="Entertainment"/>
        <s v="Rent"/>
        <s v="Fuel"/>
        <s v="Bonus"/>
        <s v="Freelancing"/>
      </sharedItems>
    </cacheField>
    <cacheField name="Sub Category" numFmtId="0">
      <sharedItems/>
    </cacheField>
    <cacheField name="Payment Method" numFmtId="0">
      <sharedItems count="6">
        <s v="Debit Card"/>
        <s v="Cash"/>
        <s v="Bank Transfer"/>
        <s v="UPI"/>
        <s v="Net Banking"/>
        <s v="Credit Card"/>
      </sharedItems>
    </cacheField>
    <cacheField name="Merchant" numFmtId="0">
      <sharedItems/>
    </cacheField>
    <cacheField name="Description" numFmtId="0">
      <sharedItems/>
    </cacheField>
    <cacheField name="Amount" numFmtId="165">
      <sharedItems containsSemiMixedTypes="0" containsString="0" containsNumber="1" containsInteger="1" minValue="500" maxValue="60000"/>
    </cacheField>
    <cacheField name="Budget" numFmtId="165">
      <sharedItems containsSemiMixedTypes="0" containsString="0" containsNumber="1" containsInteger="1" minValue="0" maxValue="20000"/>
    </cacheField>
    <cacheField name="Savings" numFmtId="165">
      <sharedItems containsSemiMixedTypes="0" containsString="0" containsNumber="1" containsInteger="1" minValue="0" maxValue="10000"/>
    </cacheField>
    <cacheField name="Location" numFmtId="0">
      <sharedItems/>
    </cacheField>
    <cacheField name="Status" numFmtId="0">
      <sharedItems/>
    </cacheField>
    <cacheField name="Recurring" numFmtId="0">
      <sharedItems/>
    </cacheField>
    <cacheField name="Tax" numFmtId="0">
      <sharedItems/>
    </cacheField>
    <cacheField name="Balance" numFmtId="165">
      <sharedItems containsSemiMixedTypes="0" containsString="0" containsNumber="1" containsInteger="1" minValue="-104872" maxValue="215842"/>
    </cacheField>
    <cacheField name="Month" numFmtId="0">
      <sharedItems count="7">
        <s v="Jan"/>
        <s v="Feb"/>
        <s v="Mar"/>
        <s v="Apr"/>
        <s v="May"/>
        <s v="Jun"/>
        <s v="Jul"/>
      </sharedItems>
    </cacheField>
    <cacheField name="Month no" numFmtId="0">
      <sharedItems containsSemiMixedTypes="0" containsString="0" containsNumber="1" containsInteger="1" minValue="1" maxValue="7"/>
    </cacheField>
    <cacheField name="Quarter" numFmtId="0">
      <sharedItems/>
    </cacheField>
    <cacheField name="Savings Goal" numFmtId="0">
      <sharedItems count="5">
        <s v="Investment"/>
        <s v="Emergency Fund"/>
        <s v="Car"/>
        <s v="Vacation"/>
        <s v="Saving Goal"/>
      </sharedItems>
    </cacheField>
  </cacheFields>
  <extLst>
    <ext xmlns:x14="http://schemas.microsoft.com/office/spreadsheetml/2009/9/main" uri="{725AE2AE-9491-48be-B2B4-4EB974FC3084}">
      <x14:pivotCacheDefinition pivotCacheId="16727653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0">
  <r>
    <s v="TXN0003"/>
    <d v="2026-01-03T00:00:00"/>
    <n v="2026"/>
    <x v="0"/>
    <x v="0"/>
    <x v="0"/>
    <s v="Clothing"/>
    <x v="0"/>
    <s v="Ajio"/>
    <s v="Clothing"/>
    <n v="7555"/>
    <n v="8000"/>
    <n v="0"/>
    <s v="Chennai"/>
    <s v="Completed"/>
    <s v="No"/>
    <s v="Yes"/>
    <n v="62373"/>
    <x v="0"/>
    <n v="1"/>
    <s v="Q1"/>
    <x v="0"/>
  </r>
  <r>
    <s v="TXN0017"/>
    <d v="2026-01-03T00:00:00"/>
    <n v="2026"/>
    <x v="1"/>
    <x v="0"/>
    <x v="1"/>
    <s v="Pharmacy"/>
    <x v="0"/>
    <s v="Apollo Pharmacy"/>
    <s v="Pharmacy"/>
    <n v="1529"/>
    <n v="4000"/>
    <n v="2000"/>
    <s v="Chennai"/>
    <s v="Completed"/>
    <s v="No"/>
    <s v="No"/>
    <n v="-53691"/>
    <x v="0"/>
    <n v="1"/>
    <s v="Q1"/>
    <x v="1"/>
  </r>
  <r>
    <s v="TXN0055"/>
    <d v="2026-01-05T00:00:00"/>
    <n v="2026"/>
    <x v="2"/>
    <x v="1"/>
    <x v="2"/>
    <s v="Interest"/>
    <x v="1"/>
    <s v="ICICI Bank"/>
    <s v="Bank interest received"/>
    <n v="800"/>
    <n v="0"/>
    <n v="5000"/>
    <s v="Pune"/>
    <s v="Completed"/>
    <s v="No"/>
    <s v="No"/>
    <n v="101511"/>
    <x v="0"/>
    <n v="1"/>
    <s v="Q1"/>
    <x v="2"/>
  </r>
  <r>
    <s v="TXN0200"/>
    <d v="2026-01-05T00:00:00"/>
    <n v="2026"/>
    <x v="0"/>
    <x v="0"/>
    <x v="3"/>
    <s v="Delivery"/>
    <x v="2"/>
    <s v="Zomato"/>
    <s v="Delivery"/>
    <n v="8449"/>
    <n v="10000"/>
    <n v="0"/>
    <s v="Bengaluru"/>
    <s v="Completed"/>
    <s v="Yes"/>
    <s v="No"/>
    <n v="19705"/>
    <x v="0"/>
    <n v="1"/>
    <s v="Q1"/>
    <x v="3"/>
  </r>
  <r>
    <s v="TXN0051"/>
    <d v="2026-01-06T00:00:00"/>
    <n v="2026"/>
    <x v="1"/>
    <x v="0"/>
    <x v="3"/>
    <s v="Groceries"/>
    <x v="3"/>
    <s v="Reliance Fresh"/>
    <s v="Groceries"/>
    <n v="1516"/>
    <n v="10000"/>
    <n v="0"/>
    <s v="Hyderabad"/>
    <s v="Completed"/>
    <s v="No"/>
    <s v="No"/>
    <n v="61484"/>
    <x v="0"/>
    <n v="1"/>
    <s v="Q1"/>
    <x v="2"/>
  </r>
  <r>
    <s v="TXN0170"/>
    <d v="2026-01-06T00:00:00"/>
    <n v="2026"/>
    <x v="2"/>
    <x v="0"/>
    <x v="4"/>
    <s v="Bill"/>
    <x v="4"/>
    <s v="Electricity Board"/>
    <s v="Bill"/>
    <n v="13947"/>
    <n v="3000"/>
    <n v="2000"/>
    <s v="Hyderabad"/>
    <s v="Completed"/>
    <s v="Yes"/>
    <s v="No"/>
    <n v="33824"/>
    <x v="0"/>
    <n v="1"/>
    <s v="Q1"/>
    <x v="3"/>
  </r>
  <r>
    <s v="TXN0162"/>
    <d v="2026-01-07T00:00:00"/>
    <n v="2026"/>
    <x v="1"/>
    <x v="0"/>
    <x v="1"/>
    <s v="Pharmacy"/>
    <x v="1"/>
    <s v="MedPlus"/>
    <s v="Pharmacy"/>
    <n v="12063"/>
    <n v="4000"/>
    <n v="500"/>
    <s v="Pune"/>
    <s v="Completed"/>
    <s v="No"/>
    <s v="No"/>
    <n v="59989"/>
    <x v="0"/>
    <n v="1"/>
    <s v="Q1"/>
    <x v="0"/>
  </r>
  <r>
    <s v="TXN0002"/>
    <d v="2026-01-10T00:00:00"/>
    <n v="2026"/>
    <x v="1"/>
    <x v="1"/>
    <x v="5"/>
    <s v="Monthly Salary"/>
    <x v="1"/>
    <s v="Employer"/>
    <s v="Monthly salary received"/>
    <n v="50000"/>
    <n v="0"/>
    <n v="2000"/>
    <s v="Mumbai"/>
    <s v="Completed"/>
    <s v="Yes"/>
    <s v="Yes"/>
    <n v="69928"/>
    <x v="0"/>
    <n v="1"/>
    <s v="Q1"/>
    <x v="2"/>
  </r>
  <r>
    <s v="TXN0090"/>
    <d v="2026-01-10T00:00:00"/>
    <n v="2026"/>
    <x v="3"/>
    <x v="1"/>
    <x v="2"/>
    <s v="Interest"/>
    <x v="4"/>
    <s v="ICICI Bank"/>
    <s v="Bank interest received"/>
    <n v="1500"/>
    <n v="0"/>
    <n v="2000"/>
    <s v="Chennai"/>
    <s v="Completed"/>
    <s v="No"/>
    <s v="No"/>
    <n v="127642"/>
    <x v="0"/>
    <n v="1"/>
    <s v="Q1"/>
    <x v="0"/>
  </r>
  <r>
    <s v="TXN0084"/>
    <d v="2026-01-13T00:00:00"/>
    <n v="2026"/>
    <x v="3"/>
    <x v="0"/>
    <x v="6"/>
    <s v="Mobile"/>
    <x v="3"/>
    <s v="Jio"/>
    <s v="Mobile"/>
    <n v="5270"/>
    <n v="2000"/>
    <n v="2000"/>
    <s v="Mumbai"/>
    <s v="Completed"/>
    <s v="Yes"/>
    <s v="Yes"/>
    <n v="179800"/>
    <x v="0"/>
    <n v="1"/>
    <s v="Q1"/>
    <x v="1"/>
  </r>
  <r>
    <s v="TXN0141"/>
    <d v="2026-01-13T00:00:00"/>
    <n v="2026"/>
    <x v="0"/>
    <x v="0"/>
    <x v="0"/>
    <s v="Supermarket"/>
    <x v="4"/>
    <s v="DMart"/>
    <s v="Supermarket"/>
    <n v="13549"/>
    <n v="8000"/>
    <n v="500"/>
    <s v="Mumbai"/>
    <s v="Completed"/>
    <s v="No"/>
    <s v="Yes"/>
    <n v="192623"/>
    <x v="0"/>
    <n v="1"/>
    <s v="Q1"/>
    <x v="2"/>
  </r>
  <r>
    <s v="TXN0166"/>
    <d v="2026-01-13T00:00:00"/>
    <n v="2026"/>
    <x v="1"/>
    <x v="0"/>
    <x v="7"/>
    <s v="Metro"/>
    <x v="4"/>
    <s v="Metro Rail"/>
    <s v="Metro"/>
    <n v="5380"/>
    <n v="5000"/>
    <n v="0"/>
    <s v="Bengaluru"/>
    <s v="Completed"/>
    <s v="Yes"/>
    <s v="No"/>
    <n v="19874"/>
    <x v="0"/>
    <n v="1"/>
    <s v="Q1"/>
    <x v="0"/>
  </r>
  <r>
    <s v="TXN0189"/>
    <d v="2026-01-13T00:00:00"/>
    <n v="2026"/>
    <x v="2"/>
    <x v="0"/>
    <x v="8"/>
    <s v="Movies"/>
    <x v="5"/>
    <s v="INOX"/>
    <s v="Movies"/>
    <n v="2761"/>
    <n v="3000"/>
    <n v="500"/>
    <s v="Hyderabad"/>
    <s v="Completed"/>
    <s v="No"/>
    <s v="No"/>
    <n v="36146"/>
    <x v="0"/>
    <n v="1"/>
    <s v="Q1"/>
    <x v="1"/>
  </r>
  <r>
    <s v="TXN0176"/>
    <d v="2026-01-14T00:00:00"/>
    <n v="2026"/>
    <x v="0"/>
    <x v="0"/>
    <x v="3"/>
    <s v="Delivery"/>
    <x v="2"/>
    <s v="Swiggy"/>
    <s v="Delivery"/>
    <n v="11323"/>
    <n v="10000"/>
    <n v="0"/>
    <s v="Chennai"/>
    <s v="Completed"/>
    <s v="No"/>
    <s v="No"/>
    <n v="69858"/>
    <x v="0"/>
    <n v="1"/>
    <s v="Q1"/>
    <x v="2"/>
  </r>
  <r>
    <s v="TXN0063"/>
    <d v="2026-01-15T00:00:00"/>
    <n v="2026"/>
    <x v="3"/>
    <x v="0"/>
    <x v="7"/>
    <s v="Cab"/>
    <x v="4"/>
    <s v="Ola"/>
    <s v="Cab"/>
    <n v="901"/>
    <n v="5000"/>
    <n v="1000"/>
    <s v="Chennai"/>
    <s v="Completed"/>
    <s v="No"/>
    <s v="No"/>
    <n v="93320"/>
    <x v="0"/>
    <n v="1"/>
    <s v="Q1"/>
    <x v="3"/>
  </r>
  <r>
    <s v="TXN0132"/>
    <d v="2026-01-15T00:00:00"/>
    <n v="2026"/>
    <x v="2"/>
    <x v="0"/>
    <x v="3"/>
    <s v="Groceries"/>
    <x v="1"/>
    <s v="DMart"/>
    <s v="Groceries"/>
    <n v="9840"/>
    <n v="10000"/>
    <n v="500"/>
    <s v="Hyderabad"/>
    <s v="Completed"/>
    <s v="No"/>
    <s v="No"/>
    <n v="162304"/>
    <x v="0"/>
    <n v="1"/>
    <s v="Q1"/>
    <x v="2"/>
  </r>
  <r>
    <s v="TXN0024"/>
    <d v="2026-01-16T00:00:00"/>
    <n v="2026"/>
    <x v="1"/>
    <x v="1"/>
    <x v="5"/>
    <s v="Monthly Salary"/>
    <x v="2"/>
    <s v="Employer"/>
    <s v="Monthly salary received"/>
    <n v="60000"/>
    <n v="0"/>
    <n v="2000"/>
    <s v="Bengaluru"/>
    <s v="Completed"/>
    <s v="Yes"/>
    <s v="Yes"/>
    <n v="65128"/>
    <x v="0"/>
    <n v="1"/>
    <s v="Q1"/>
    <x v="0"/>
  </r>
  <r>
    <s v="TXN0026"/>
    <d v="2026-01-20T00:00:00"/>
    <n v="2026"/>
    <x v="1"/>
    <x v="0"/>
    <x v="3"/>
    <s v="Groceries"/>
    <x v="4"/>
    <s v="DMart"/>
    <s v="Groceries"/>
    <n v="7484"/>
    <n v="10000"/>
    <n v="0"/>
    <s v="Pune"/>
    <s v="Completed"/>
    <s v="No"/>
    <s v="No"/>
    <n v="69644"/>
    <x v="0"/>
    <n v="1"/>
    <s v="Q1"/>
    <x v="1"/>
  </r>
  <r>
    <s v="TXN0045"/>
    <d v="2026-01-21T00:00:00"/>
    <n v="2026"/>
    <x v="3"/>
    <x v="0"/>
    <x v="6"/>
    <s v="Broadband"/>
    <x v="3"/>
    <s v="JioFiber"/>
    <s v="Broadband"/>
    <n v="5034"/>
    <n v="2000"/>
    <n v="0"/>
    <s v="Bengaluru"/>
    <s v="Completed"/>
    <s v="Yes"/>
    <s v="Yes"/>
    <n v="140489"/>
    <x v="0"/>
    <n v="1"/>
    <s v="Q1"/>
    <x v="3"/>
  </r>
  <r>
    <s v="TXN0186"/>
    <d v="2026-01-21T00:00:00"/>
    <n v="2026"/>
    <x v="1"/>
    <x v="0"/>
    <x v="8"/>
    <s v="Movies"/>
    <x v="3"/>
    <s v="INOX"/>
    <s v="Movies"/>
    <n v="5410"/>
    <n v="3000"/>
    <n v="2000"/>
    <s v="Mumbai"/>
    <s v="Completed"/>
    <s v="No"/>
    <s v="No"/>
    <n v="42443"/>
    <x v="0"/>
    <n v="1"/>
    <s v="Q1"/>
    <x v="0"/>
  </r>
  <r>
    <s v="TXN0126"/>
    <d v="2026-01-22T00:00:00"/>
    <n v="2026"/>
    <x v="0"/>
    <x v="0"/>
    <x v="4"/>
    <s v="Bill"/>
    <x v="0"/>
    <s v="Electricity Board"/>
    <s v="Bill"/>
    <n v="3276"/>
    <n v="3000"/>
    <n v="2000"/>
    <s v="Hyderabad"/>
    <s v="Completed"/>
    <s v="Yes"/>
    <s v="No"/>
    <n v="157241"/>
    <x v="0"/>
    <n v="1"/>
    <s v="Q1"/>
    <x v="0"/>
  </r>
  <r>
    <s v="TXN0072"/>
    <d v="2026-01-25T00:00:00"/>
    <n v="2026"/>
    <x v="2"/>
    <x v="0"/>
    <x v="6"/>
    <s v="Broadband"/>
    <x v="0"/>
    <s v="JioFiber"/>
    <s v="Broadband"/>
    <n v="5769"/>
    <n v="2000"/>
    <n v="1000"/>
    <s v="Hyderabad"/>
    <s v="Completed"/>
    <s v="Yes"/>
    <s v="Yes"/>
    <n v="155033"/>
    <x v="0"/>
    <n v="1"/>
    <s v="Q1"/>
    <x v="0"/>
  </r>
  <r>
    <s v="TXN0098"/>
    <d v="2026-01-25T00:00:00"/>
    <n v="2026"/>
    <x v="0"/>
    <x v="0"/>
    <x v="9"/>
    <s v="House Rent"/>
    <x v="3"/>
    <s v="ABC Properties"/>
    <s v="House Rent"/>
    <n v="18000"/>
    <n v="20000"/>
    <n v="2000"/>
    <s v="Chennai"/>
    <s v="Completed"/>
    <s v="Yes"/>
    <s v="No"/>
    <n v="27416"/>
    <x v="0"/>
    <n v="1"/>
    <s v="Q1"/>
    <x v="2"/>
  </r>
  <r>
    <s v="TXN0165"/>
    <d v="2026-01-26T00:00:00"/>
    <n v="2026"/>
    <x v="2"/>
    <x v="0"/>
    <x v="6"/>
    <s v="Mobile"/>
    <x v="3"/>
    <s v="Jio"/>
    <s v="Mobile"/>
    <n v="5227"/>
    <n v="2000"/>
    <n v="2000"/>
    <s v="Hyderabad"/>
    <s v="Completed"/>
    <s v="Yes"/>
    <s v="Yes"/>
    <n v="25254"/>
    <x v="0"/>
    <n v="1"/>
    <s v="Q1"/>
    <x v="0"/>
  </r>
  <r>
    <s v="TXN0062"/>
    <d v="2026-01-27T00:00:00"/>
    <n v="2026"/>
    <x v="0"/>
    <x v="0"/>
    <x v="10"/>
    <s v="Petrol"/>
    <x v="2"/>
    <s v="HP Petrol"/>
    <s v="Petrol"/>
    <n v="963"/>
    <n v="5000"/>
    <n v="0"/>
    <s v="Hyderabad"/>
    <s v="Completed"/>
    <s v="Yes"/>
    <s v="No"/>
    <n v="94221"/>
    <x v="0"/>
    <n v="1"/>
    <s v="Q1"/>
    <x v="2"/>
  </r>
  <r>
    <s v="TXN0097"/>
    <d v="2026-01-27T00:00:00"/>
    <n v="2026"/>
    <x v="3"/>
    <x v="0"/>
    <x v="6"/>
    <s v="Broadband"/>
    <x v="0"/>
    <s v="Airtel"/>
    <s v="Broadband"/>
    <n v="13546"/>
    <n v="2000"/>
    <n v="0"/>
    <s v="Delhi"/>
    <s v="Completed"/>
    <s v="Yes"/>
    <s v="Yes"/>
    <n v="45416"/>
    <x v="0"/>
    <n v="1"/>
    <s v="Q1"/>
    <x v="3"/>
  </r>
  <r>
    <s v="TXN0109"/>
    <d v="2026-01-31T00:00:00"/>
    <n v="2026"/>
    <x v="3"/>
    <x v="0"/>
    <x v="4"/>
    <s v="Bill"/>
    <x v="1"/>
    <s v="Electricity Board"/>
    <s v="Bill"/>
    <n v="9263"/>
    <n v="3000"/>
    <n v="0"/>
    <s v="Delhi"/>
    <s v="Completed"/>
    <s v="Yes"/>
    <s v="No"/>
    <n v="51014"/>
    <x v="0"/>
    <n v="1"/>
    <s v="Q1"/>
    <x v="0"/>
  </r>
  <r>
    <s v="TXN0191"/>
    <d v="2026-02-01T00:00:00"/>
    <n v="2026"/>
    <x v="0"/>
    <x v="0"/>
    <x v="10"/>
    <s v="Petrol"/>
    <x v="1"/>
    <s v="Bharat Petroleum"/>
    <s v="Petrol"/>
    <n v="613"/>
    <n v="5000"/>
    <n v="1000"/>
    <s v="Delhi"/>
    <s v="Completed"/>
    <s v="No"/>
    <s v="No"/>
    <n v="22664"/>
    <x v="1"/>
    <n v="2"/>
    <s v="Q1"/>
    <x v="3"/>
  </r>
  <r>
    <s v="TXN0043"/>
    <d v="2026-02-02T00:00:00"/>
    <n v="2026"/>
    <x v="2"/>
    <x v="0"/>
    <x v="8"/>
    <s v="Streaming"/>
    <x v="4"/>
    <s v="Spotify"/>
    <s v="Streaming"/>
    <n v="15002"/>
    <n v="3000"/>
    <n v="2000"/>
    <s v="Bengaluru"/>
    <s v="Completed"/>
    <s v="Yes"/>
    <s v="No"/>
    <n v="163104"/>
    <x v="1"/>
    <n v="2"/>
    <s v="Q1"/>
    <x v="0"/>
  </r>
  <r>
    <s v="TXN0127"/>
    <d v="2026-02-03T00:00:00"/>
    <n v="2026"/>
    <x v="1"/>
    <x v="0"/>
    <x v="8"/>
    <s v="Streaming"/>
    <x v="0"/>
    <s v="Netflix"/>
    <s v="Streaming"/>
    <n v="1097"/>
    <n v="3000"/>
    <n v="0"/>
    <s v="Chennai"/>
    <s v="Completed"/>
    <s v="No"/>
    <s v="No"/>
    <n v="156144"/>
    <x v="1"/>
    <n v="2"/>
    <s v="Q1"/>
    <x v="3"/>
  </r>
  <r>
    <s v="TXN0154"/>
    <d v="2026-02-04T00:00:00"/>
    <n v="2026"/>
    <x v="2"/>
    <x v="0"/>
    <x v="9"/>
    <s v="House Rent"/>
    <x v="0"/>
    <s v="ABC Properties"/>
    <s v="House Rent"/>
    <n v="18000"/>
    <n v="20000"/>
    <n v="0"/>
    <s v="Delhi"/>
    <s v="Completed"/>
    <s v="Yes"/>
    <s v="No"/>
    <n v="131611"/>
    <x v="1"/>
    <n v="2"/>
    <s v="Q1"/>
    <x v="1"/>
  </r>
  <r>
    <s v="TXN0180"/>
    <d v="2026-02-05T00:00:00"/>
    <n v="2026"/>
    <x v="2"/>
    <x v="1"/>
    <x v="5"/>
    <s v="Monthly Salary"/>
    <x v="3"/>
    <s v="Employer"/>
    <s v="Monthly salary received"/>
    <n v="60000"/>
    <n v="0"/>
    <n v="2000"/>
    <s v="Hyderabad"/>
    <s v="Completed"/>
    <s v="Yes"/>
    <s v="Yes"/>
    <n v="94999"/>
    <x v="1"/>
    <n v="2"/>
    <s v="Q1"/>
    <x v="1"/>
  </r>
  <r>
    <s v="TXN0190"/>
    <d v="2026-02-05T00:00:00"/>
    <n v="2026"/>
    <x v="2"/>
    <x v="0"/>
    <x v="4"/>
    <s v="Bill"/>
    <x v="5"/>
    <s v="Electricity Board"/>
    <s v="Bill"/>
    <n v="12869"/>
    <n v="3000"/>
    <n v="0"/>
    <s v="Hyderabad"/>
    <s v="Completed"/>
    <s v="Yes"/>
    <s v="No"/>
    <n v="23277"/>
    <x v="1"/>
    <n v="2"/>
    <s v="Q1"/>
    <x v="3"/>
  </r>
  <r>
    <s v="TXN0009"/>
    <d v="2026-02-06T00:00:00"/>
    <n v="2026"/>
    <x v="0"/>
    <x v="0"/>
    <x v="0"/>
    <s v="Supermarket"/>
    <x v="4"/>
    <s v="DMart"/>
    <s v="Supermarket"/>
    <n v="14538"/>
    <n v="8000"/>
    <n v="500"/>
    <s v="Chennai"/>
    <s v="Completed"/>
    <s v="No"/>
    <s v="Yes"/>
    <n v="12"/>
    <x v="1"/>
    <n v="2"/>
    <s v="Q1"/>
    <x v="0"/>
  </r>
  <r>
    <s v="TXN0137"/>
    <d v="2026-02-07T00:00:00"/>
    <n v="2026"/>
    <x v="3"/>
    <x v="1"/>
    <x v="5"/>
    <s v="Monthly Salary"/>
    <x v="2"/>
    <s v="Employer"/>
    <s v="Monthly salary received"/>
    <n v="50000"/>
    <n v="0"/>
    <n v="5000"/>
    <s v="Pune"/>
    <s v="Completed"/>
    <s v="Yes"/>
    <s v="Yes"/>
    <n v="211723"/>
    <x v="1"/>
    <n v="2"/>
    <s v="Q1"/>
    <x v="1"/>
  </r>
  <r>
    <s v="TXN0041"/>
    <d v="2026-02-08T00:00:00"/>
    <n v="2026"/>
    <x v="1"/>
    <x v="0"/>
    <x v="7"/>
    <s v="Cab"/>
    <x v="5"/>
    <s v="Uber"/>
    <s v="Cab"/>
    <n v="15423"/>
    <n v="5000"/>
    <n v="2000"/>
    <s v="Mumbai"/>
    <s v="Completed"/>
    <s v="Yes"/>
    <s v="No"/>
    <n v="163106"/>
    <x v="1"/>
    <n v="2"/>
    <s v="Q1"/>
    <x v="1"/>
  </r>
  <r>
    <s v="TXN0065"/>
    <d v="2026-02-09T00:00:00"/>
    <n v="2026"/>
    <x v="3"/>
    <x v="0"/>
    <x v="3"/>
    <s v="Delivery"/>
    <x v="4"/>
    <s v="Zomato"/>
    <s v="Delivery"/>
    <n v="7895"/>
    <n v="10000"/>
    <n v="1000"/>
    <s v="Mumbai"/>
    <s v="Completed"/>
    <s v="No"/>
    <s v="No"/>
    <n v="82784"/>
    <x v="1"/>
    <n v="2"/>
    <s v="Q1"/>
    <x v="2"/>
  </r>
  <r>
    <s v="TXN0023"/>
    <d v="2026-02-10T00:00:00"/>
    <n v="2026"/>
    <x v="0"/>
    <x v="1"/>
    <x v="5"/>
    <s v="Monthly Salary"/>
    <x v="2"/>
    <s v="Employer"/>
    <s v="Monthly salary received"/>
    <n v="55000"/>
    <n v="0"/>
    <n v="0"/>
    <s v="Hyderabad"/>
    <s v="Completed"/>
    <s v="Yes"/>
    <s v="Yes"/>
    <n v="5128"/>
    <x v="1"/>
    <n v="2"/>
    <s v="Q1"/>
    <x v="1"/>
  </r>
  <r>
    <s v="TXN0112"/>
    <d v="2026-02-10T00:00:00"/>
    <n v="2026"/>
    <x v="0"/>
    <x v="1"/>
    <x v="5"/>
    <s v="Monthly Salary"/>
    <x v="1"/>
    <s v="Employer"/>
    <s v="Monthly salary received"/>
    <n v="60000"/>
    <n v="0"/>
    <n v="10000"/>
    <s v="Delhi"/>
    <s v="Completed"/>
    <s v="Yes"/>
    <s v="Yes"/>
    <n v="144885"/>
    <x v="1"/>
    <n v="2"/>
    <s v="Q1"/>
    <x v="0"/>
  </r>
  <r>
    <s v="TXN0044"/>
    <d v="2026-02-11T00:00:00"/>
    <n v="2026"/>
    <x v="2"/>
    <x v="0"/>
    <x v="1"/>
    <s v="Medical"/>
    <x v="5"/>
    <s v="Care Clinic"/>
    <s v="Medical"/>
    <n v="17581"/>
    <n v="4000"/>
    <n v="0"/>
    <s v="Pune"/>
    <s v="Completed"/>
    <s v="Yes"/>
    <s v="No"/>
    <n v="145523"/>
    <x v="1"/>
    <n v="2"/>
    <s v="Q1"/>
    <x v="2"/>
  </r>
  <r>
    <s v="TXN0151"/>
    <d v="2026-02-11T00:00:00"/>
    <n v="2026"/>
    <x v="0"/>
    <x v="0"/>
    <x v="3"/>
    <s v="Restaurant"/>
    <x v="3"/>
    <s v="Food Plaza"/>
    <s v="Restaurant"/>
    <n v="5050"/>
    <n v="10000"/>
    <n v="0"/>
    <s v="Hyderabad"/>
    <s v="Completed"/>
    <s v="No"/>
    <s v="No"/>
    <n v="178921"/>
    <x v="1"/>
    <n v="2"/>
    <s v="Q1"/>
    <x v="1"/>
  </r>
  <r>
    <s v="TXN0161"/>
    <d v="2026-02-11T00:00:00"/>
    <n v="2026"/>
    <x v="3"/>
    <x v="0"/>
    <x v="1"/>
    <s v="Pharmacy"/>
    <x v="4"/>
    <s v="MedPlus"/>
    <s v="Pharmacy"/>
    <n v="16827"/>
    <n v="4000"/>
    <n v="1000"/>
    <s v="Delhi"/>
    <s v="Completed"/>
    <s v="No"/>
    <s v="No"/>
    <n v="72052"/>
    <x v="1"/>
    <n v="2"/>
    <s v="Q1"/>
    <x v="1"/>
  </r>
  <r>
    <s v="TXN0167"/>
    <d v="2026-02-12T00:00:00"/>
    <n v="2026"/>
    <x v="2"/>
    <x v="0"/>
    <x v="0"/>
    <s v="Supermarket"/>
    <x v="4"/>
    <s v="Reliance Fresh"/>
    <s v="Supermarket"/>
    <n v="11522"/>
    <n v="8000"/>
    <n v="2000"/>
    <s v="Delhi"/>
    <s v="Completed"/>
    <s v="Yes"/>
    <s v="Yes"/>
    <n v="8352"/>
    <x v="1"/>
    <n v="2"/>
    <s v="Q1"/>
    <x v="1"/>
  </r>
  <r>
    <s v="TXN0091"/>
    <d v="2026-02-13T00:00:00"/>
    <n v="2026"/>
    <x v="3"/>
    <x v="0"/>
    <x v="0"/>
    <s v="Supermarket"/>
    <x v="1"/>
    <s v="DMart"/>
    <s v="Supermarket"/>
    <n v="11599"/>
    <n v="8000"/>
    <n v="0"/>
    <s v="Pune"/>
    <s v="Completed"/>
    <s v="No"/>
    <s v="Yes"/>
    <n v="116043"/>
    <x v="1"/>
    <n v="2"/>
    <s v="Q1"/>
    <x v="1"/>
  </r>
  <r>
    <s v="TXN0145"/>
    <d v="2026-02-13T00:00:00"/>
    <n v="2026"/>
    <x v="2"/>
    <x v="0"/>
    <x v="6"/>
    <s v="Mobile"/>
    <x v="2"/>
    <s v="Airtel"/>
    <s v="Mobile"/>
    <n v="9496"/>
    <n v="2000"/>
    <n v="0"/>
    <s v="Hyderabad"/>
    <s v="Completed"/>
    <s v="Yes"/>
    <s v="Yes"/>
    <n v="149789"/>
    <x v="1"/>
    <n v="2"/>
    <s v="Q1"/>
    <x v="3"/>
  </r>
  <r>
    <s v="TXN0085"/>
    <d v="2026-02-14T00:00:00"/>
    <n v="2026"/>
    <x v="0"/>
    <x v="0"/>
    <x v="4"/>
    <s v="Bill"/>
    <x v="4"/>
    <s v="Electricity Board"/>
    <s v="Bill"/>
    <n v="16807"/>
    <n v="3000"/>
    <n v="0"/>
    <s v="Mumbai"/>
    <s v="Completed"/>
    <s v="Yes"/>
    <s v="No"/>
    <n v="162993"/>
    <x v="1"/>
    <n v="2"/>
    <s v="Q1"/>
    <x v="1"/>
  </r>
  <r>
    <s v="TXN0117"/>
    <d v="2026-02-14T00:00:00"/>
    <n v="2026"/>
    <x v="2"/>
    <x v="0"/>
    <x v="3"/>
    <s v="Delivery"/>
    <x v="3"/>
    <s v="Zomato"/>
    <s v="Delivery"/>
    <n v="3968"/>
    <n v="10000"/>
    <n v="2000"/>
    <s v="Chennai"/>
    <s v="Completed"/>
    <s v="No"/>
    <s v="No"/>
    <n v="112825"/>
    <x v="1"/>
    <n v="2"/>
    <s v="Q1"/>
    <x v="3"/>
  </r>
  <r>
    <s v="TXN0067"/>
    <d v="2026-02-15T00:00:00"/>
    <n v="2026"/>
    <x v="1"/>
    <x v="1"/>
    <x v="5"/>
    <s v="Monthly Salary"/>
    <x v="2"/>
    <s v="Employer"/>
    <s v="Monthly salary received"/>
    <n v="55000"/>
    <n v="0"/>
    <n v="2000"/>
    <s v="Bengaluru"/>
    <s v="Completed"/>
    <s v="Yes"/>
    <s v="Yes"/>
    <n v="119784"/>
    <x v="1"/>
    <n v="2"/>
    <s v="Q1"/>
    <x v="0"/>
  </r>
  <r>
    <s v="TXN0100"/>
    <d v="2026-02-15T00:00:00"/>
    <n v="2026"/>
    <x v="1"/>
    <x v="0"/>
    <x v="10"/>
    <s v="Petrol"/>
    <x v="3"/>
    <s v="Indian Oil"/>
    <s v="Petrol"/>
    <n v="12238"/>
    <n v="5000"/>
    <n v="500"/>
    <s v="Chennai"/>
    <s v="Completed"/>
    <s v="Yes"/>
    <s v="No"/>
    <n v="20178"/>
    <x v="1"/>
    <n v="2"/>
    <s v="Q1"/>
    <x v="3"/>
  </r>
  <r>
    <s v="TXN0150"/>
    <d v="2026-02-15T00:00:00"/>
    <n v="2026"/>
    <x v="2"/>
    <x v="0"/>
    <x v="6"/>
    <s v="Mobile"/>
    <x v="4"/>
    <s v="Jio"/>
    <s v="Mobile"/>
    <n v="2627"/>
    <n v="2000"/>
    <n v="2000"/>
    <s v="Mumbai"/>
    <s v="Completed"/>
    <s v="Yes"/>
    <s v="No"/>
    <n v="183971"/>
    <x v="1"/>
    <n v="2"/>
    <s v="Q1"/>
    <x v="2"/>
  </r>
  <r>
    <s v="TXN0182"/>
    <d v="2026-02-18T00:00:00"/>
    <n v="2026"/>
    <x v="0"/>
    <x v="0"/>
    <x v="1"/>
    <s v="Pharmacy"/>
    <x v="5"/>
    <s v="MedPlus"/>
    <s v="Pharmacy"/>
    <n v="9045"/>
    <n v="4000"/>
    <n v="1000"/>
    <s v="Pune"/>
    <s v="Completed"/>
    <s v="No"/>
    <s v="No"/>
    <n v="68570"/>
    <x v="1"/>
    <n v="2"/>
    <s v="Q1"/>
    <x v="0"/>
  </r>
  <r>
    <s v="TXN0197"/>
    <d v="2026-02-18T00:00:00"/>
    <n v="2026"/>
    <x v="2"/>
    <x v="0"/>
    <x v="0"/>
    <s v="Supermarket"/>
    <x v="5"/>
    <s v="Reliance Fresh"/>
    <s v="Supermarket"/>
    <n v="5230"/>
    <n v="8000"/>
    <n v="2000"/>
    <s v="Bengaluru"/>
    <s v="Completed"/>
    <s v="No"/>
    <s v="Yes"/>
    <n v="49244"/>
    <x v="1"/>
    <n v="2"/>
    <s v="Q1"/>
    <x v="3"/>
  </r>
  <r>
    <s v="TXN0020"/>
    <d v="2026-02-20T00:00:00"/>
    <n v="2026"/>
    <x v="0"/>
    <x v="0"/>
    <x v="4"/>
    <s v="Bill"/>
    <x v="5"/>
    <s v="Electricity Board"/>
    <s v="Bill"/>
    <n v="9627"/>
    <n v="3000"/>
    <n v="0"/>
    <s v="Delhi"/>
    <s v="Completed"/>
    <s v="Yes"/>
    <s v="No"/>
    <n v="-101316"/>
    <x v="1"/>
    <n v="2"/>
    <s v="Q1"/>
    <x v="2"/>
  </r>
  <r>
    <s v="TXN0022"/>
    <d v="2026-02-25T00:00:00"/>
    <n v="2026"/>
    <x v="2"/>
    <x v="1"/>
    <x v="5"/>
    <s v="Monthly Salary"/>
    <x v="1"/>
    <s v="Employer"/>
    <s v="Monthly salary received"/>
    <n v="55000"/>
    <n v="0"/>
    <n v="5000"/>
    <s v="Mumbai"/>
    <s v="Completed"/>
    <s v="Yes"/>
    <s v="Yes"/>
    <n v="-49872"/>
    <x v="1"/>
    <n v="2"/>
    <s v="Q1"/>
    <x v="0"/>
  </r>
  <r>
    <s v="TXN0113"/>
    <d v="2026-02-26T00:00:00"/>
    <n v="2026"/>
    <x v="1"/>
    <x v="0"/>
    <x v="0"/>
    <s v="Supermarket"/>
    <x v="4"/>
    <s v="DMart"/>
    <s v="Supermarket"/>
    <n v="16445"/>
    <n v="8000"/>
    <n v="500"/>
    <s v="Hyderabad"/>
    <s v="Completed"/>
    <s v="Yes"/>
    <s v="Yes"/>
    <n v="128440"/>
    <x v="1"/>
    <n v="2"/>
    <s v="Q1"/>
    <x v="1"/>
  </r>
  <r>
    <s v="TXN0048"/>
    <d v="2026-02-27T00:00:00"/>
    <n v="2026"/>
    <x v="3"/>
    <x v="0"/>
    <x v="4"/>
    <s v="Bill"/>
    <x v="2"/>
    <s v="Electricity Board"/>
    <s v="Bill"/>
    <n v="13748"/>
    <n v="3000"/>
    <n v="0"/>
    <s v="Pune"/>
    <s v="Completed"/>
    <s v="Yes"/>
    <s v="No"/>
    <n v="90617"/>
    <x v="1"/>
    <n v="2"/>
    <s v="Q1"/>
    <x v="0"/>
  </r>
  <r>
    <s v="TXN0076"/>
    <d v="2026-02-28T00:00:00"/>
    <n v="2026"/>
    <x v="1"/>
    <x v="0"/>
    <x v="10"/>
    <s v="Petrol"/>
    <x v="4"/>
    <s v="HP Petrol"/>
    <s v="Petrol"/>
    <n v="10063"/>
    <n v="5000"/>
    <n v="500"/>
    <s v="Pune"/>
    <s v="Completed"/>
    <s v="Yes"/>
    <s v="No"/>
    <n v="205779"/>
    <x v="1"/>
    <n v="2"/>
    <s v="Q1"/>
    <x v="0"/>
  </r>
  <r>
    <s v="TXN0155"/>
    <d v="2026-02-28T00:00:00"/>
    <n v="2026"/>
    <x v="3"/>
    <x v="0"/>
    <x v="3"/>
    <s v="Dining"/>
    <x v="2"/>
    <s v="Restaurant"/>
    <s v="Dining"/>
    <n v="6932"/>
    <n v="10000"/>
    <n v="500"/>
    <s v="Delhi"/>
    <s v="Completed"/>
    <s v="Yes"/>
    <s v="No"/>
    <n v="124679"/>
    <x v="1"/>
    <n v="2"/>
    <s v="Q1"/>
    <x v="0"/>
  </r>
  <r>
    <s v="TXN0089"/>
    <d v="2026-03-01T00:00:00"/>
    <n v="2026"/>
    <x v="3"/>
    <x v="0"/>
    <x v="0"/>
    <s v="Supermarket"/>
    <x v="2"/>
    <s v="Reliance Fresh"/>
    <s v="Supermarket"/>
    <n v="4981"/>
    <n v="8000"/>
    <n v="0"/>
    <s v="Bengaluru"/>
    <s v="Completed"/>
    <s v="No"/>
    <s v="No"/>
    <n v="126142"/>
    <x v="2"/>
    <n v="3"/>
    <s v="Q1"/>
    <x v="3"/>
  </r>
  <r>
    <s v="TXN0061"/>
    <d v="2026-03-02T00:00:00"/>
    <n v="2026"/>
    <x v="1"/>
    <x v="1"/>
    <x v="5"/>
    <s v="Monthly Salary"/>
    <x v="4"/>
    <s v="Employer"/>
    <s v="Monthly salary received"/>
    <n v="50000"/>
    <n v="0"/>
    <n v="10000"/>
    <s v="Chennai"/>
    <s v="Completed"/>
    <s v="Yes"/>
    <s v="Yes"/>
    <n v="95184"/>
    <x v="2"/>
    <n v="3"/>
    <s v="Q1"/>
    <x v="0"/>
  </r>
  <r>
    <s v="TXN0014"/>
    <d v="2026-03-04T00:00:00"/>
    <n v="2026"/>
    <x v="1"/>
    <x v="0"/>
    <x v="3"/>
    <s v="Groceries"/>
    <x v="1"/>
    <s v="BigBasket"/>
    <s v="Groceries"/>
    <n v="16424"/>
    <n v="10000"/>
    <n v="0"/>
    <s v="Bengaluru"/>
    <s v="Completed"/>
    <s v="Yes"/>
    <s v="No"/>
    <n v="-43882"/>
    <x v="2"/>
    <n v="3"/>
    <s v="Q1"/>
    <x v="0"/>
  </r>
  <r>
    <s v="TXN0052"/>
    <d v="2026-03-04T00:00:00"/>
    <n v="2026"/>
    <x v="0"/>
    <x v="0"/>
    <x v="1"/>
    <s v="Medical"/>
    <x v="0"/>
    <s v="City Hospital"/>
    <s v="Medical"/>
    <n v="8896"/>
    <n v="4000"/>
    <n v="2000"/>
    <s v="Pune"/>
    <s v="Completed"/>
    <s v="No"/>
    <s v="No"/>
    <n v="52588"/>
    <x v="2"/>
    <n v="3"/>
    <s v="Q1"/>
    <x v="0"/>
  </r>
  <r>
    <s v="TXN0160"/>
    <d v="2026-03-04T00:00:00"/>
    <n v="2026"/>
    <x v="2"/>
    <x v="0"/>
    <x v="1"/>
    <s v="Pharmacy"/>
    <x v="1"/>
    <s v="MedPlus"/>
    <s v="Pharmacy"/>
    <n v="3672"/>
    <n v="4000"/>
    <n v="1000"/>
    <s v="Mumbai"/>
    <s v="Completed"/>
    <s v="No"/>
    <s v="No"/>
    <n v="88879"/>
    <x v="2"/>
    <n v="3"/>
    <s v="Q1"/>
    <x v="1"/>
  </r>
  <r>
    <s v="TXN0027"/>
    <d v="2026-03-05T00:00:00"/>
    <n v="2026"/>
    <x v="3"/>
    <x v="1"/>
    <x v="11"/>
    <s v="Bonus"/>
    <x v="2"/>
    <s v="Employer"/>
    <s v="Performance bonus"/>
    <n v="15000"/>
    <n v="0"/>
    <n v="5000"/>
    <s v="Hyderabad"/>
    <s v="Completed"/>
    <s v="Yes"/>
    <s v="Yes"/>
    <n v="84644"/>
    <x v="2"/>
    <n v="3"/>
    <s v="Q1"/>
    <x v="1"/>
  </r>
  <r>
    <s v="TXN0028"/>
    <d v="2026-03-10T00:00:00"/>
    <n v="2026"/>
    <x v="1"/>
    <x v="0"/>
    <x v="10"/>
    <s v="Petrol"/>
    <x v="4"/>
    <s v="Indian Oil"/>
    <s v="Petrol"/>
    <n v="9732"/>
    <n v="5000"/>
    <n v="500"/>
    <s v="Mumbai"/>
    <s v="Completed"/>
    <s v="No"/>
    <s v="No"/>
    <n v="74912"/>
    <x v="2"/>
    <n v="3"/>
    <s v="Q1"/>
    <x v="0"/>
  </r>
  <r>
    <s v="TXN0101"/>
    <d v="2026-03-10T00:00:00"/>
    <n v="2026"/>
    <x v="1"/>
    <x v="0"/>
    <x v="8"/>
    <s v="Movies"/>
    <x v="5"/>
    <s v="PVR"/>
    <s v="Movies"/>
    <n v="2582"/>
    <n v="3000"/>
    <n v="500"/>
    <s v="Bengaluru"/>
    <s v="Completed"/>
    <s v="No"/>
    <s v="No"/>
    <n v="17596"/>
    <x v="2"/>
    <n v="3"/>
    <s v="Q1"/>
    <x v="2"/>
  </r>
  <r>
    <s v="TXN0149"/>
    <d v="2026-03-10T00:00:00"/>
    <n v="2026"/>
    <x v="3"/>
    <x v="0"/>
    <x v="0"/>
    <s v="Supermarket"/>
    <x v="3"/>
    <s v="DMart"/>
    <s v="Supermarket"/>
    <n v="16595"/>
    <n v="8000"/>
    <n v="0"/>
    <s v="Chennai"/>
    <s v="Completed"/>
    <s v="No"/>
    <s v="Yes"/>
    <n v="186598"/>
    <x v="2"/>
    <n v="3"/>
    <s v="Q1"/>
    <x v="0"/>
  </r>
  <r>
    <s v="TXN0008"/>
    <d v="2026-03-11T00:00:00"/>
    <n v="2026"/>
    <x v="1"/>
    <x v="0"/>
    <x v="6"/>
    <s v="Broadband"/>
    <x v="5"/>
    <s v="Airtel"/>
    <s v="Broadband"/>
    <n v="16858"/>
    <n v="2000"/>
    <n v="1000"/>
    <s v="Bengaluru"/>
    <s v="Completed"/>
    <s v="Yes"/>
    <s v="Yes"/>
    <n v="14550"/>
    <x v="2"/>
    <n v="3"/>
    <s v="Q1"/>
    <x v="0"/>
  </r>
  <r>
    <s v="TXN0069"/>
    <d v="2026-03-11T00:00:00"/>
    <n v="2026"/>
    <x v="0"/>
    <x v="1"/>
    <x v="12"/>
    <s v="Project"/>
    <x v="2"/>
    <s v="Freelance Client"/>
    <s v="Freelance project payment"/>
    <n v="15000"/>
    <n v="0"/>
    <n v="5000"/>
    <s v="Mumbai"/>
    <s v="Completed"/>
    <s v="No"/>
    <s v="Yes"/>
    <n v="127802"/>
    <x v="2"/>
    <n v="3"/>
    <s v="Q1"/>
    <x v="0"/>
  </r>
  <r>
    <s v="TXN0199"/>
    <d v="2026-03-11T00:00:00"/>
    <n v="2026"/>
    <x v="2"/>
    <x v="0"/>
    <x v="9"/>
    <s v="House Rent"/>
    <x v="5"/>
    <s v="City Homes"/>
    <s v="House Rent"/>
    <n v="18000"/>
    <n v="20000"/>
    <n v="0"/>
    <s v="Chennai"/>
    <s v="Completed"/>
    <s v="Yes"/>
    <s v="No"/>
    <n v="28154"/>
    <x v="2"/>
    <n v="3"/>
    <s v="Q1"/>
    <x v="2"/>
  </r>
  <r>
    <s v="TXN0104"/>
    <d v="2026-03-13T00:00:00"/>
    <n v="2026"/>
    <x v="3"/>
    <x v="0"/>
    <x v="8"/>
    <s v="Streaming"/>
    <x v="4"/>
    <s v="Netflix"/>
    <s v="Streaming"/>
    <n v="15367"/>
    <n v="3000"/>
    <n v="1000"/>
    <s v="Pune"/>
    <s v="Completed"/>
    <s v="Yes"/>
    <s v="No"/>
    <n v="14082"/>
    <x v="2"/>
    <n v="3"/>
    <s v="Q1"/>
    <x v="0"/>
  </r>
  <r>
    <s v="TXN0039"/>
    <d v="2026-03-16T00:00:00"/>
    <n v="2026"/>
    <x v="0"/>
    <x v="0"/>
    <x v="6"/>
    <s v="Mobile"/>
    <x v="5"/>
    <s v="Jio"/>
    <s v="Mobile"/>
    <n v="14976"/>
    <n v="2000"/>
    <n v="0"/>
    <s v="Pune"/>
    <s v="Completed"/>
    <s v="Yes"/>
    <s v="Yes"/>
    <n v="186725"/>
    <x v="2"/>
    <n v="3"/>
    <s v="Q1"/>
    <x v="0"/>
  </r>
  <r>
    <s v="TXN0136"/>
    <d v="2026-03-16T00:00:00"/>
    <n v="2026"/>
    <x v="0"/>
    <x v="1"/>
    <x v="5"/>
    <s v="Monthly Salary"/>
    <x v="2"/>
    <s v="Employer"/>
    <s v="Monthly salary received"/>
    <n v="45000"/>
    <n v="0"/>
    <n v="10000"/>
    <s v="Hyderabad"/>
    <s v="Completed"/>
    <s v="Yes"/>
    <s v="Yes"/>
    <n v="161723"/>
    <x v="2"/>
    <n v="3"/>
    <s v="Q1"/>
    <x v="1"/>
  </r>
  <r>
    <s v="TXN0142"/>
    <d v="2026-03-16T00:00:00"/>
    <n v="2026"/>
    <x v="3"/>
    <x v="0"/>
    <x v="6"/>
    <s v="Mobile"/>
    <x v="0"/>
    <s v="Jio"/>
    <s v="Mobile"/>
    <n v="4578"/>
    <n v="2000"/>
    <n v="1000"/>
    <s v="Mumbai"/>
    <s v="Completed"/>
    <s v="Yes"/>
    <s v="No"/>
    <n v="188045"/>
    <x v="2"/>
    <n v="3"/>
    <s v="Q1"/>
    <x v="2"/>
  </r>
  <r>
    <s v="TXN0163"/>
    <d v="2026-03-16T00:00:00"/>
    <n v="2026"/>
    <x v="1"/>
    <x v="0"/>
    <x v="0"/>
    <s v="Supermarket"/>
    <x v="5"/>
    <s v="Reliance Fresh"/>
    <s v="Supermarket"/>
    <n v="12485"/>
    <n v="8000"/>
    <n v="0"/>
    <s v="Mumbai"/>
    <s v="Completed"/>
    <s v="No"/>
    <s v="Yes"/>
    <n v="47504"/>
    <x v="2"/>
    <n v="3"/>
    <s v="Q1"/>
    <x v="0"/>
  </r>
  <r>
    <s v="TXN0179"/>
    <d v="2026-03-17T00:00:00"/>
    <n v="2026"/>
    <x v="1"/>
    <x v="0"/>
    <x v="3"/>
    <s v="Dining"/>
    <x v="5"/>
    <s v="Food Court"/>
    <s v="Dining"/>
    <n v="9824"/>
    <n v="10000"/>
    <n v="2000"/>
    <s v="Mumbai"/>
    <s v="Completed"/>
    <s v="Yes"/>
    <s v="No"/>
    <n v="34999"/>
    <x v="2"/>
    <n v="3"/>
    <s v="Q1"/>
    <x v="1"/>
  </r>
  <r>
    <s v="TXN0012"/>
    <d v="2026-03-18T00:00:00"/>
    <n v="2026"/>
    <x v="2"/>
    <x v="0"/>
    <x v="0"/>
    <s v="Supermarket"/>
    <x v="4"/>
    <s v="DMart"/>
    <s v="Supermarket"/>
    <n v="6354"/>
    <n v="8000"/>
    <n v="500"/>
    <s v="Bengaluru"/>
    <s v="Completed"/>
    <s v="No"/>
    <s v="Yes"/>
    <n v="-16337"/>
    <x v="2"/>
    <n v="3"/>
    <s v="Q1"/>
    <x v="3"/>
  </r>
  <r>
    <s v="TXN0181"/>
    <d v="2026-03-18T00:00:00"/>
    <n v="2026"/>
    <x v="0"/>
    <x v="0"/>
    <x v="4"/>
    <s v="Bill"/>
    <x v="0"/>
    <s v="Electricity Board"/>
    <s v="Bill"/>
    <n v="17384"/>
    <n v="3000"/>
    <n v="0"/>
    <s v="Bengaluru"/>
    <s v="Completed"/>
    <s v="Yes"/>
    <s v="No"/>
    <n v="77615"/>
    <x v="2"/>
    <n v="3"/>
    <s v="Q1"/>
    <x v="0"/>
  </r>
  <r>
    <s v="TXN0173"/>
    <d v="2026-03-19T00:00:00"/>
    <n v="2026"/>
    <x v="3"/>
    <x v="1"/>
    <x v="12"/>
    <s v="Project"/>
    <x v="3"/>
    <s v="Freelance Client"/>
    <s v="Freelance project payment"/>
    <n v="15000"/>
    <n v="0"/>
    <n v="5000"/>
    <s v="Chennai"/>
    <s v="Completed"/>
    <s v="Yes"/>
    <s v="Yes"/>
    <n v="92459"/>
    <x v="2"/>
    <n v="3"/>
    <s v="Q1"/>
    <x v="1"/>
  </r>
  <r>
    <s v="TXN0183"/>
    <d v="2026-03-20T00:00:00"/>
    <n v="2026"/>
    <x v="1"/>
    <x v="0"/>
    <x v="1"/>
    <s v="Pharmacy"/>
    <x v="5"/>
    <s v="MedPlus"/>
    <s v="Pharmacy"/>
    <n v="4373"/>
    <n v="4000"/>
    <n v="0"/>
    <s v="Hyderabad"/>
    <s v="Completed"/>
    <s v="No"/>
    <s v="No"/>
    <n v="64197"/>
    <x v="2"/>
    <n v="3"/>
    <s v="Q1"/>
    <x v="1"/>
  </r>
  <r>
    <s v="TXN0195"/>
    <d v="2026-03-20T00:00:00"/>
    <n v="2026"/>
    <x v="0"/>
    <x v="0"/>
    <x v="4"/>
    <s v="Bill"/>
    <x v="1"/>
    <s v="Electricity Board"/>
    <s v="Bill"/>
    <n v="9516"/>
    <n v="3000"/>
    <n v="2000"/>
    <s v="Chennai"/>
    <s v="Completed"/>
    <s v="Yes"/>
    <s v="No"/>
    <n v="68616"/>
    <x v="2"/>
    <n v="3"/>
    <s v="Q1"/>
    <x v="2"/>
  </r>
  <r>
    <s v="TXN0034"/>
    <d v="2026-03-21T00:00:00"/>
    <n v="2026"/>
    <x v="0"/>
    <x v="1"/>
    <x v="5"/>
    <s v="Monthly Salary"/>
    <x v="2"/>
    <s v="Employer"/>
    <s v="Monthly salary received"/>
    <n v="55000"/>
    <n v="0"/>
    <n v="5000"/>
    <s v="Bengaluru"/>
    <s v="Completed"/>
    <s v="Yes"/>
    <s v="Yes"/>
    <n v="162795"/>
    <x v="2"/>
    <n v="3"/>
    <s v="Q1"/>
    <x v="1"/>
  </r>
  <r>
    <s v="TXN0053"/>
    <d v="2026-03-22T00:00:00"/>
    <n v="2026"/>
    <x v="1"/>
    <x v="1"/>
    <x v="5"/>
    <s v="Monthly Salary"/>
    <x v="4"/>
    <s v="Employer"/>
    <s v="Monthly salary received"/>
    <n v="60000"/>
    <n v="0"/>
    <n v="0"/>
    <s v="Delhi"/>
    <s v="Completed"/>
    <s v="Yes"/>
    <s v="Yes"/>
    <n v="112588"/>
    <x v="2"/>
    <n v="3"/>
    <s v="Q1"/>
    <x v="0"/>
  </r>
  <r>
    <s v="TXN0123"/>
    <d v="2026-03-25T00:00:00"/>
    <n v="2026"/>
    <x v="2"/>
    <x v="1"/>
    <x v="5"/>
    <s v="Monthly Salary"/>
    <x v="2"/>
    <s v="Employer"/>
    <s v="Monthly salary received"/>
    <n v="55000"/>
    <n v="0"/>
    <n v="2000"/>
    <s v="Delhi"/>
    <s v="Completed"/>
    <s v="Yes"/>
    <s v="Yes"/>
    <n v="183044"/>
    <x v="2"/>
    <n v="3"/>
    <s v="Q1"/>
    <x v="2"/>
  </r>
  <r>
    <s v="TXN0079"/>
    <d v="2026-03-28T00:00:00"/>
    <n v="2026"/>
    <x v="2"/>
    <x v="0"/>
    <x v="1"/>
    <s v="Pharmacy"/>
    <x v="3"/>
    <s v="MedPlus"/>
    <s v="Pharmacy"/>
    <n v="13049"/>
    <n v="4000"/>
    <n v="0"/>
    <s v="Pune"/>
    <s v="Completed"/>
    <s v="No"/>
    <s v="No"/>
    <n v="153576"/>
    <x v="2"/>
    <n v="3"/>
    <s v="Q1"/>
    <x v="0"/>
  </r>
  <r>
    <s v="TXN0057"/>
    <d v="2026-03-29T00:00:00"/>
    <n v="2026"/>
    <x v="1"/>
    <x v="0"/>
    <x v="10"/>
    <s v="Petrol"/>
    <x v="0"/>
    <s v="HP Petrol"/>
    <s v="Petrol"/>
    <n v="7450"/>
    <n v="5000"/>
    <n v="500"/>
    <s v="Pune"/>
    <s v="Completed"/>
    <s v="No"/>
    <s v="No"/>
    <n v="78790"/>
    <x v="2"/>
    <n v="3"/>
    <s v="Q1"/>
    <x v="0"/>
  </r>
  <r>
    <s v="TXN0110"/>
    <d v="2026-03-29T00:00:00"/>
    <n v="2026"/>
    <x v="3"/>
    <x v="1"/>
    <x v="5"/>
    <s v="Monthly Salary"/>
    <x v="4"/>
    <s v="Employer"/>
    <s v="Monthly salary received"/>
    <n v="45000"/>
    <n v="0"/>
    <n v="0"/>
    <s v="Mumbai"/>
    <s v="Completed"/>
    <s v="Yes"/>
    <s v="Yes"/>
    <n v="96014"/>
    <x v="2"/>
    <n v="3"/>
    <s v="Q1"/>
    <x v="0"/>
  </r>
  <r>
    <s v="TXN0064"/>
    <d v="2026-03-30T00:00:00"/>
    <n v="2026"/>
    <x v="0"/>
    <x v="0"/>
    <x v="7"/>
    <s v="Cab"/>
    <x v="5"/>
    <s v="Uber"/>
    <s v="Cab"/>
    <n v="2641"/>
    <n v="5000"/>
    <n v="0"/>
    <s v="Mumbai"/>
    <s v="Completed"/>
    <s v="No"/>
    <s v="No"/>
    <n v="90679"/>
    <x v="2"/>
    <n v="3"/>
    <s v="Q1"/>
    <x v="0"/>
  </r>
  <r>
    <s v="TXN0119"/>
    <d v="2026-04-01T00:00:00"/>
    <n v="2026"/>
    <x v="0"/>
    <x v="1"/>
    <x v="5"/>
    <s v="Monthly Salary"/>
    <x v="2"/>
    <s v="Employer"/>
    <s v="Monthly salary received"/>
    <n v="50000"/>
    <n v="0"/>
    <n v="2000"/>
    <s v="Bengaluru"/>
    <s v="Completed"/>
    <s v="Yes"/>
    <s v="Yes"/>
    <n v="159823"/>
    <x v="3"/>
    <n v="4"/>
    <s v="Q2"/>
    <x v="0"/>
  </r>
  <r>
    <s v="TXN0019"/>
    <d v="2026-04-02T00:00:00"/>
    <n v="2026"/>
    <x v="2"/>
    <x v="0"/>
    <x v="9"/>
    <s v="House Rent"/>
    <x v="2"/>
    <s v="ABC Properties"/>
    <s v="House Rent"/>
    <n v="22000"/>
    <n v="20000"/>
    <n v="500"/>
    <s v="Pune"/>
    <s v="Completed"/>
    <s v="Yes"/>
    <s v="No"/>
    <n v="-91689"/>
    <x v="3"/>
    <n v="4"/>
    <s v="Q2"/>
    <x v="1"/>
  </r>
  <r>
    <s v="TXN0004"/>
    <d v="2026-04-03T00:00:00"/>
    <n v="2026"/>
    <x v="3"/>
    <x v="0"/>
    <x v="9"/>
    <s v="House Rent"/>
    <x v="1"/>
    <s v="City Homes"/>
    <s v="House Rent"/>
    <n v="22000"/>
    <n v="20000"/>
    <n v="2000"/>
    <s v="Delhi"/>
    <s v="Completed"/>
    <s v="Yes"/>
    <s v="No"/>
    <n v="40373"/>
    <x v="3"/>
    <n v="4"/>
    <s v="Q2"/>
    <x v="0"/>
  </r>
  <r>
    <s v="TXN0130"/>
    <d v="2026-04-05T00:00:00"/>
    <n v="2026"/>
    <x v="0"/>
    <x v="0"/>
    <x v="7"/>
    <s v="Cab"/>
    <x v="3"/>
    <s v="Uber"/>
    <s v="Cab"/>
    <n v="17998"/>
    <n v="5000"/>
    <n v="1000"/>
    <s v="Pune"/>
    <s v="Completed"/>
    <s v="No"/>
    <s v="No"/>
    <n v="177954"/>
    <x v="3"/>
    <n v="4"/>
    <s v="Q2"/>
    <x v="1"/>
  </r>
  <r>
    <s v="TXN0146"/>
    <d v="2026-04-05T00:00:00"/>
    <n v="2026"/>
    <x v="0"/>
    <x v="1"/>
    <x v="12"/>
    <s v="Project"/>
    <x v="4"/>
    <s v="Freelance Client"/>
    <s v="Freelance project payment"/>
    <n v="5000"/>
    <n v="0"/>
    <n v="2000"/>
    <s v="Mumbai"/>
    <s v="Completed"/>
    <s v="No"/>
    <s v="No"/>
    <n v="154789"/>
    <x v="3"/>
    <n v="4"/>
    <s v="Q2"/>
    <x v="0"/>
  </r>
  <r>
    <s v="TXN0122"/>
    <d v="2026-04-06T00:00:00"/>
    <n v="2026"/>
    <x v="3"/>
    <x v="0"/>
    <x v="3"/>
    <s v="Delivery"/>
    <x v="4"/>
    <s v="Zomato"/>
    <s v="Delivery"/>
    <n v="15662"/>
    <n v="10000"/>
    <n v="0"/>
    <s v="Mumbai"/>
    <s v="Completed"/>
    <s v="Yes"/>
    <s v="No"/>
    <n v="128044"/>
    <x v="3"/>
    <n v="4"/>
    <s v="Q2"/>
    <x v="1"/>
  </r>
  <r>
    <s v="TXN0013"/>
    <d v="2026-04-07T00:00:00"/>
    <n v="2026"/>
    <x v="0"/>
    <x v="0"/>
    <x v="8"/>
    <s v="Movies"/>
    <x v="5"/>
    <s v="INOX"/>
    <s v="Movies"/>
    <n v="11121"/>
    <n v="3000"/>
    <n v="0"/>
    <s v="Delhi"/>
    <s v="Completed"/>
    <s v="No"/>
    <s v="No"/>
    <n v="-27458"/>
    <x v="3"/>
    <n v="4"/>
    <s v="Q2"/>
    <x v="1"/>
  </r>
  <r>
    <s v="TXN0107"/>
    <d v="2026-04-07T00:00:00"/>
    <n v="2026"/>
    <x v="0"/>
    <x v="1"/>
    <x v="2"/>
    <s v="Interest"/>
    <x v="1"/>
    <s v="HDFC Bank"/>
    <s v="Bank interest received"/>
    <n v="500"/>
    <n v="0"/>
    <n v="10000"/>
    <s v="Delhi"/>
    <s v="Completed"/>
    <s v="No"/>
    <s v="No"/>
    <n v="277"/>
    <x v="3"/>
    <n v="4"/>
    <s v="Q2"/>
    <x v="1"/>
  </r>
  <r>
    <s v="TXN0111"/>
    <d v="2026-04-08T00:00:00"/>
    <n v="2026"/>
    <x v="2"/>
    <x v="0"/>
    <x v="6"/>
    <s v="Mobile"/>
    <x v="4"/>
    <s v="Airtel"/>
    <s v="Mobile"/>
    <n v="11129"/>
    <n v="2000"/>
    <n v="2000"/>
    <s v="Pune"/>
    <s v="Completed"/>
    <s v="Yes"/>
    <s v="Yes"/>
    <n v="84885"/>
    <x v="3"/>
    <n v="4"/>
    <s v="Q2"/>
    <x v="3"/>
  </r>
  <r>
    <s v="TXN0011"/>
    <d v="2026-04-09T00:00:00"/>
    <n v="2026"/>
    <x v="2"/>
    <x v="0"/>
    <x v="8"/>
    <s v="Movies"/>
    <x v="2"/>
    <s v="INOX"/>
    <s v="Movies"/>
    <n v="4253"/>
    <n v="3000"/>
    <n v="500"/>
    <s v="Delhi"/>
    <s v="Completed"/>
    <s v="Yes"/>
    <s v="No"/>
    <n v="-9983"/>
    <x v="3"/>
    <n v="4"/>
    <s v="Q2"/>
    <x v="1"/>
  </r>
  <r>
    <s v="TXN0050"/>
    <d v="2026-04-09T00:00:00"/>
    <n v="2026"/>
    <x v="3"/>
    <x v="0"/>
    <x v="6"/>
    <s v="Mobile"/>
    <x v="5"/>
    <s v="Airtel"/>
    <s v="Mobile"/>
    <n v="9617"/>
    <n v="2000"/>
    <n v="500"/>
    <s v="Bengaluru"/>
    <s v="Completed"/>
    <s v="Yes"/>
    <s v="Yes"/>
    <n v="63000"/>
    <x v="3"/>
    <n v="4"/>
    <s v="Q2"/>
    <x v="0"/>
  </r>
  <r>
    <s v="TXN0134"/>
    <d v="2026-04-10T00:00:00"/>
    <n v="2026"/>
    <x v="1"/>
    <x v="0"/>
    <x v="6"/>
    <s v="Broadband"/>
    <x v="3"/>
    <s v="Airtel"/>
    <s v="Broadband"/>
    <n v="11486"/>
    <n v="2000"/>
    <n v="0"/>
    <s v="Hyderabad"/>
    <s v="Completed"/>
    <s v="Yes"/>
    <s v="Yes"/>
    <n v="136723"/>
    <x v="3"/>
    <n v="4"/>
    <s v="Q2"/>
    <x v="3"/>
  </r>
  <r>
    <s v="TXN0143"/>
    <d v="2026-04-10T00:00:00"/>
    <n v="2026"/>
    <x v="3"/>
    <x v="0"/>
    <x v="7"/>
    <s v="Metro"/>
    <x v="0"/>
    <s v="Metro Rail"/>
    <s v="Metro"/>
    <n v="17515"/>
    <n v="5000"/>
    <n v="1000"/>
    <s v="Bengaluru"/>
    <s v="Completed"/>
    <s v="No"/>
    <s v="No"/>
    <n v="170530"/>
    <x v="3"/>
    <n v="4"/>
    <s v="Q2"/>
    <x v="1"/>
  </r>
  <r>
    <s v="TXN0147"/>
    <d v="2026-04-10T00:00:00"/>
    <n v="2026"/>
    <x v="1"/>
    <x v="1"/>
    <x v="5"/>
    <s v="Monthly Salary"/>
    <x v="1"/>
    <s v="Employer"/>
    <s v="Monthly salary received"/>
    <n v="55000"/>
    <n v="0"/>
    <n v="0"/>
    <s v="Delhi"/>
    <s v="Completed"/>
    <s v="Yes"/>
    <s v="Yes"/>
    <n v="209789"/>
    <x v="3"/>
    <n v="4"/>
    <s v="Q2"/>
    <x v="2"/>
  </r>
  <r>
    <s v="TXN0138"/>
    <d v="2026-04-11T00:00:00"/>
    <n v="2026"/>
    <x v="2"/>
    <x v="0"/>
    <x v="6"/>
    <s v="Mobile"/>
    <x v="0"/>
    <s v="Jio"/>
    <s v="Mobile"/>
    <n v="1032"/>
    <n v="2000"/>
    <n v="0"/>
    <s v="Mumbai"/>
    <s v="Completed"/>
    <s v="Yes"/>
    <s v="No"/>
    <n v="210691"/>
    <x v="3"/>
    <n v="4"/>
    <s v="Q2"/>
    <x v="3"/>
  </r>
  <r>
    <s v="TXN0114"/>
    <d v="2026-04-13T00:00:00"/>
    <n v="2026"/>
    <x v="1"/>
    <x v="1"/>
    <x v="2"/>
    <s v="Interest"/>
    <x v="3"/>
    <s v="HDFC Bank"/>
    <s v="Bank interest received"/>
    <n v="1200"/>
    <n v="0"/>
    <n v="0"/>
    <s v="Mumbai"/>
    <s v="Completed"/>
    <s v="No"/>
    <s v="No"/>
    <n v="129640"/>
    <x v="3"/>
    <n v="4"/>
    <s v="Q2"/>
    <x v="0"/>
  </r>
  <r>
    <s v="TXN0118"/>
    <d v="2026-04-13T00:00:00"/>
    <n v="2026"/>
    <x v="3"/>
    <x v="0"/>
    <x v="6"/>
    <s v="Broadband"/>
    <x v="4"/>
    <s v="Airtel"/>
    <s v="Broadband"/>
    <n v="3002"/>
    <n v="2000"/>
    <n v="0"/>
    <s v="Chennai"/>
    <s v="Completed"/>
    <s v="Yes"/>
    <s v="No"/>
    <n v="109823"/>
    <x v="3"/>
    <n v="4"/>
    <s v="Q2"/>
    <x v="3"/>
  </r>
  <r>
    <s v="TXN0148"/>
    <d v="2026-04-13T00:00:00"/>
    <n v="2026"/>
    <x v="3"/>
    <x v="0"/>
    <x v="3"/>
    <s v="Groceries"/>
    <x v="5"/>
    <s v="Reliance Fresh"/>
    <s v="Groceries"/>
    <n v="6596"/>
    <n v="10000"/>
    <n v="1000"/>
    <s v="Chennai"/>
    <s v="Completed"/>
    <s v="Yes"/>
    <s v="No"/>
    <n v="203193"/>
    <x v="3"/>
    <n v="4"/>
    <s v="Q2"/>
    <x v="0"/>
  </r>
  <r>
    <s v="TXN0038"/>
    <d v="2026-04-15T00:00:00"/>
    <n v="2026"/>
    <x v="3"/>
    <x v="1"/>
    <x v="5"/>
    <s v="Monthly Salary"/>
    <x v="3"/>
    <s v="Employer"/>
    <s v="Monthly salary received"/>
    <n v="50000"/>
    <n v="0"/>
    <n v="10000"/>
    <s v="Delhi"/>
    <s v="Completed"/>
    <s v="Yes"/>
    <s v="Yes"/>
    <n v="201701"/>
    <x v="3"/>
    <n v="4"/>
    <s v="Q2"/>
    <x v="1"/>
  </r>
  <r>
    <s v="TXN0153"/>
    <d v="2026-04-16T00:00:00"/>
    <n v="2026"/>
    <x v="1"/>
    <x v="0"/>
    <x v="3"/>
    <s v="Delivery"/>
    <x v="2"/>
    <s v="Swiggy"/>
    <s v="Delivery"/>
    <n v="15764"/>
    <n v="10000"/>
    <n v="500"/>
    <s v="Bengaluru"/>
    <s v="Completed"/>
    <s v="Yes"/>
    <s v="No"/>
    <n v="149611"/>
    <x v="3"/>
    <n v="4"/>
    <s v="Q2"/>
    <x v="1"/>
  </r>
  <r>
    <s v="TXN0074"/>
    <d v="2026-04-17T00:00:00"/>
    <n v="2026"/>
    <x v="1"/>
    <x v="0"/>
    <x v="7"/>
    <s v="Metro"/>
    <x v="3"/>
    <s v="Metro Rail"/>
    <s v="Metro"/>
    <n v="2191"/>
    <n v="5000"/>
    <n v="2000"/>
    <s v="Bengaluru"/>
    <s v="Completed"/>
    <s v="No"/>
    <s v="No"/>
    <n v="207842"/>
    <x v="3"/>
    <n v="4"/>
    <s v="Q2"/>
    <x v="1"/>
  </r>
  <r>
    <s v="TXN0078"/>
    <d v="2026-04-18T00:00:00"/>
    <n v="2026"/>
    <x v="3"/>
    <x v="0"/>
    <x v="9"/>
    <s v="House Rent"/>
    <x v="3"/>
    <s v="City Homes"/>
    <s v="House Rent"/>
    <n v="22000"/>
    <n v="20000"/>
    <n v="1000"/>
    <s v="Delhi"/>
    <s v="Completed"/>
    <s v="Yes"/>
    <s v="No"/>
    <n v="166625"/>
    <x v="3"/>
    <n v="4"/>
    <s v="Q2"/>
    <x v="1"/>
  </r>
  <r>
    <s v="TXN0096"/>
    <d v="2026-04-18T00:00:00"/>
    <n v="2026"/>
    <x v="1"/>
    <x v="0"/>
    <x v="0"/>
    <s v="Clothing"/>
    <x v="3"/>
    <s v="Myntra"/>
    <s v="Clothing"/>
    <n v="12641"/>
    <n v="8000"/>
    <n v="1000"/>
    <s v="Pune"/>
    <s v="Completed"/>
    <s v="No"/>
    <s v="Yes"/>
    <n v="58962"/>
    <x v="3"/>
    <n v="4"/>
    <s v="Q2"/>
    <x v="0"/>
  </r>
  <r>
    <s v="TXN0025"/>
    <d v="2026-04-19T00:00:00"/>
    <n v="2026"/>
    <x v="3"/>
    <x v="1"/>
    <x v="12"/>
    <s v="Project"/>
    <x v="1"/>
    <s v="Freelance Client"/>
    <s v="Freelance project payment"/>
    <n v="12000"/>
    <n v="0"/>
    <n v="5000"/>
    <s v="Hyderabad"/>
    <s v="Completed"/>
    <s v="No"/>
    <s v="Yes"/>
    <n v="77128"/>
    <x v="3"/>
    <n v="4"/>
    <s v="Q2"/>
    <x v="0"/>
  </r>
  <r>
    <s v="TXN0106"/>
    <d v="2026-04-21T00:00:00"/>
    <n v="2026"/>
    <x v="3"/>
    <x v="0"/>
    <x v="10"/>
    <s v="Petrol"/>
    <x v="1"/>
    <s v="HP Petrol"/>
    <s v="Petrol"/>
    <n v="2699"/>
    <n v="5000"/>
    <n v="0"/>
    <s v="Chennai"/>
    <s v="Completed"/>
    <s v="No"/>
    <s v="No"/>
    <n v="-223"/>
    <x v="3"/>
    <n v="4"/>
    <s v="Q2"/>
    <x v="1"/>
  </r>
  <r>
    <s v="TXN0037"/>
    <d v="2026-04-22T00:00:00"/>
    <n v="2026"/>
    <x v="1"/>
    <x v="0"/>
    <x v="6"/>
    <s v="Broadband"/>
    <x v="4"/>
    <s v="JioFiber"/>
    <s v="Broadband"/>
    <n v="10340"/>
    <n v="2000"/>
    <n v="500"/>
    <s v="Chennai"/>
    <s v="Completed"/>
    <s v="Yes"/>
    <s v="Yes"/>
    <n v="151701"/>
    <x v="3"/>
    <n v="4"/>
    <s v="Q2"/>
    <x v="2"/>
  </r>
  <r>
    <s v="TXN0115"/>
    <d v="2026-04-22T00:00:00"/>
    <n v="2026"/>
    <x v="0"/>
    <x v="0"/>
    <x v="1"/>
    <s v="Medical"/>
    <x v="5"/>
    <s v="Care Clinic"/>
    <s v="Medical"/>
    <n v="2861"/>
    <n v="4000"/>
    <n v="0"/>
    <s v="Bengaluru"/>
    <s v="Completed"/>
    <s v="Yes"/>
    <s v="No"/>
    <n v="126779"/>
    <x v="3"/>
    <n v="4"/>
    <s v="Q2"/>
    <x v="1"/>
  </r>
  <r>
    <s v="TXN0036"/>
    <d v="2026-04-23T00:00:00"/>
    <n v="2026"/>
    <x v="1"/>
    <x v="0"/>
    <x v="1"/>
    <s v="Medical"/>
    <x v="2"/>
    <s v="City Hospital"/>
    <s v="Medical"/>
    <n v="1954"/>
    <n v="4000"/>
    <n v="0"/>
    <s v="Pune"/>
    <s v="Completed"/>
    <s v="No"/>
    <s v="No"/>
    <n v="162041"/>
    <x v="3"/>
    <n v="4"/>
    <s v="Q2"/>
    <x v="1"/>
  </r>
  <r>
    <s v="TXN0056"/>
    <d v="2026-04-23T00:00:00"/>
    <n v="2026"/>
    <x v="3"/>
    <x v="0"/>
    <x v="3"/>
    <s v="Dining"/>
    <x v="3"/>
    <s v="Food Court"/>
    <s v="Dining"/>
    <n v="15271"/>
    <n v="10000"/>
    <n v="2000"/>
    <s v="Hyderabad"/>
    <s v="Completed"/>
    <s v="No"/>
    <s v="No"/>
    <n v="86240"/>
    <x v="3"/>
    <n v="4"/>
    <s v="Q2"/>
    <x v="3"/>
  </r>
  <r>
    <s v="TXN0133"/>
    <d v="2026-04-23T00:00:00"/>
    <n v="2026"/>
    <x v="1"/>
    <x v="0"/>
    <x v="6"/>
    <s v="Broadband"/>
    <x v="1"/>
    <s v="JioFiber"/>
    <s v="Broadband"/>
    <n v="14095"/>
    <n v="2000"/>
    <n v="1000"/>
    <s v="Bengaluru"/>
    <s v="Completed"/>
    <s v="Yes"/>
    <s v="Yes"/>
    <n v="148209"/>
    <x v="3"/>
    <n v="4"/>
    <s v="Q2"/>
    <x v="0"/>
  </r>
  <r>
    <s v="TXN0016"/>
    <d v="2026-04-24T00:00:00"/>
    <n v="2026"/>
    <x v="2"/>
    <x v="0"/>
    <x v="3"/>
    <s v="Dining"/>
    <x v="4"/>
    <s v="Food Court"/>
    <s v="Dining"/>
    <n v="1189"/>
    <n v="10000"/>
    <n v="0"/>
    <s v="Mumbai"/>
    <s v="Completed"/>
    <s v="Yes"/>
    <s v="No"/>
    <n v="-52162"/>
    <x v="3"/>
    <n v="4"/>
    <s v="Q2"/>
    <x v="0"/>
  </r>
  <r>
    <s v="TXN0075"/>
    <d v="2026-04-24T00:00:00"/>
    <n v="2026"/>
    <x v="2"/>
    <x v="1"/>
    <x v="12"/>
    <s v="Project"/>
    <x v="3"/>
    <s v="Freelance Client"/>
    <s v="Freelance project payment"/>
    <n v="8000"/>
    <n v="0"/>
    <n v="0"/>
    <s v="Mumbai"/>
    <s v="Completed"/>
    <s v="Yes"/>
    <s v="No"/>
    <n v="215842"/>
    <x v="3"/>
    <n v="4"/>
    <s v="Q2"/>
    <x v="0"/>
  </r>
  <r>
    <s v="TXN0081"/>
    <d v="2026-04-24T00:00:00"/>
    <n v="2026"/>
    <x v="1"/>
    <x v="0"/>
    <x v="9"/>
    <s v="House Rent"/>
    <x v="1"/>
    <s v="City Homes"/>
    <s v="House Rent"/>
    <n v="18000"/>
    <n v="20000"/>
    <n v="1000"/>
    <s v="Delhi"/>
    <s v="Completed"/>
    <s v="Yes"/>
    <s v="No"/>
    <n v="133863"/>
    <x v="3"/>
    <n v="4"/>
    <s v="Q2"/>
    <x v="0"/>
  </r>
  <r>
    <s v="TXN0124"/>
    <d v="2026-04-24T00:00:00"/>
    <n v="2026"/>
    <x v="2"/>
    <x v="0"/>
    <x v="10"/>
    <s v="Petrol"/>
    <x v="0"/>
    <s v="HP Petrol"/>
    <s v="Petrol"/>
    <n v="12717"/>
    <n v="5000"/>
    <n v="1000"/>
    <s v="Delhi"/>
    <s v="Completed"/>
    <s v="No"/>
    <s v="No"/>
    <n v="170327"/>
    <x v="3"/>
    <n v="4"/>
    <s v="Q2"/>
    <x v="0"/>
  </r>
  <r>
    <s v="TXN0194"/>
    <d v="2026-04-24T00:00:00"/>
    <n v="2026"/>
    <x v="0"/>
    <x v="1"/>
    <x v="11"/>
    <s v="Bonus"/>
    <x v="3"/>
    <s v="Employer"/>
    <s v="Performance bonus"/>
    <n v="5000"/>
    <n v="0"/>
    <n v="5000"/>
    <s v="Delhi"/>
    <s v="Completed"/>
    <s v="No"/>
    <s v="No"/>
    <n v="78132"/>
    <x v="3"/>
    <n v="4"/>
    <s v="Q2"/>
    <x v="0"/>
  </r>
  <r>
    <s v="TXN0116"/>
    <d v="2026-04-29T00:00:00"/>
    <n v="2026"/>
    <x v="1"/>
    <x v="0"/>
    <x v="4"/>
    <s v="Bill"/>
    <x v="1"/>
    <s v="Electricity Board"/>
    <s v="Bill"/>
    <n v="9986"/>
    <n v="3000"/>
    <n v="1000"/>
    <s v="Hyderabad"/>
    <s v="Completed"/>
    <s v="Yes"/>
    <s v="No"/>
    <n v="116793"/>
    <x v="3"/>
    <n v="4"/>
    <s v="Q2"/>
    <x v="0"/>
  </r>
  <r>
    <s v="TXN0007"/>
    <d v="2026-04-30T00:00:00"/>
    <n v="2026"/>
    <x v="2"/>
    <x v="0"/>
    <x v="8"/>
    <s v="Movies"/>
    <x v="1"/>
    <s v="INOX"/>
    <s v="Movies"/>
    <n v="11126"/>
    <n v="3000"/>
    <n v="0"/>
    <s v="Hyderabad"/>
    <s v="Completed"/>
    <s v="No"/>
    <s v="No"/>
    <n v="31408"/>
    <x v="3"/>
    <n v="4"/>
    <s v="Q2"/>
    <x v="2"/>
  </r>
  <r>
    <s v="TXN0152"/>
    <d v="2026-05-01T00:00:00"/>
    <n v="2026"/>
    <x v="0"/>
    <x v="0"/>
    <x v="3"/>
    <s v="Dining"/>
    <x v="2"/>
    <s v="Food Court"/>
    <s v="Dining"/>
    <n v="13546"/>
    <n v="10000"/>
    <n v="1000"/>
    <s v="Delhi"/>
    <s v="Completed"/>
    <s v="Yes"/>
    <s v="No"/>
    <n v="165375"/>
    <x v="4"/>
    <n v="5"/>
    <s v="Q2"/>
    <x v="1"/>
  </r>
  <r>
    <s v="TXN0077"/>
    <d v="2026-05-02T00:00:00"/>
    <n v="2026"/>
    <x v="0"/>
    <x v="0"/>
    <x v="4"/>
    <s v="Bill"/>
    <x v="2"/>
    <s v="Electricity Board"/>
    <s v="Bill"/>
    <n v="17154"/>
    <n v="3000"/>
    <n v="0"/>
    <s v="Pune"/>
    <s v="Completed"/>
    <s v="Yes"/>
    <s v="No"/>
    <n v="188625"/>
    <x v="4"/>
    <n v="5"/>
    <s v="Q2"/>
    <x v="3"/>
  </r>
  <r>
    <s v="TXN0135"/>
    <d v="2026-05-02T00:00:00"/>
    <n v="2026"/>
    <x v="0"/>
    <x v="0"/>
    <x v="9"/>
    <s v="House Rent"/>
    <x v="3"/>
    <s v="City Homes"/>
    <s v="House Rent"/>
    <n v="20000"/>
    <n v="20000"/>
    <n v="0"/>
    <s v="Chennai"/>
    <s v="Completed"/>
    <s v="Yes"/>
    <s v="No"/>
    <n v="116723"/>
    <x v="4"/>
    <n v="5"/>
    <s v="Q2"/>
    <x v="0"/>
  </r>
  <r>
    <s v="TXN0060"/>
    <d v="2026-05-03T00:00:00"/>
    <n v="2026"/>
    <x v="3"/>
    <x v="0"/>
    <x v="8"/>
    <s v="Streaming"/>
    <x v="2"/>
    <s v="Spotify"/>
    <s v="Streaming"/>
    <n v="12028"/>
    <n v="3000"/>
    <n v="500"/>
    <s v="Pune"/>
    <s v="Completed"/>
    <s v="No"/>
    <s v="No"/>
    <n v="45184"/>
    <x v="4"/>
    <n v="5"/>
    <s v="Q2"/>
    <x v="4"/>
  </r>
  <r>
    <s v="TXN0168"/>
    <d v="2026-05-03T00:00:00"/>
    <n v="2026"/>
    <x v="1"/>
    <x v="0"/>
    <x v="3"/>
    <s v="Delivery"/>
    <x v="2"/>
    <s v="Zomato"/>
    <s v="Delivery"/>
    <n v="10581"/>
    <n v="10000"/>
    <n v="0"/>
    <s v="Hyderabad"/>
    <s v="Completed"/>
    <s v="Yes"/>
    <s v="No"/>
    <n v="-2229"/>
    <x v="4"/>
    <n v="5"/>
    <s v="Q2"/>
    <x v="1"/>
  </r>
  <r>
    <s v="TXN0128"/>
    <d v="2026-05-06T00:00:00"/>
    <n v="2026"/>
    <x v="0"/>
    <x v="0"/>
    <x v="10"/>
    <s v="Petrol"/>
    <x v="1"/>
    <s v="Bharat Petroleum"/>
    <s v="Petrol"/>
    <n v="10192"/>
    <n v="5000"/>
    <n v="2000"/>
    <s v="Bengaluru"/>
    <s v="Completed"/>
    <s v="Yes"/>
    <s v="No"/>
    <n v="145952"/>
    <x v="4"/>
    <n v="5"/>
    <s v="Q2"/>
    <x v="0"/>
  </r>
  <r>
    <s v="TXN0042"/>
    <d v="2026-05-08T00:00:00"/>
    <n v="2026"/>
    <x v="2"/>
    <x v="1"/>
    <x v="12"/>
    <s v="Project"/>
    <x v="4"/>
    <s v="ABC Pvt Ltd"/>
    <s v="Freelance project payment"/>
    <n v="15000"/>
    <n v="0"/>
    <n v="10000"/>
    <s v="Bengaluru"/>
    <s v="Completed"/>
    <s v="No"/>
    <s v="Yes"/>
    <n v="178106"/>
    <x v="4"/>
    <n v="5"/>
    <s v="Q2"/>
    <x v="0"/>
  </r>
  <r>
    <s v="TXN0095"/>
    <d v="2026-05-08T00:00:00"/>
    <n v="2026"/>
    <x v="1"/>
    <x v="0"/>
    <x v="8"/>
    <s v="Movies"/>
    <x v="5"/>
    <s v="INOX"/>
    <s v="Movies"/>
    <n v="13235"/>
    <n v="3000"/>
    <n v="2000"/>
    <s v="Mumbai"/>
    <s v="Completed"/>
    <s v="No"/>
    <s v="No"/>
    <n v="71603"/>
    <x v="4"/>
    <n v="5"/>
    <s v="Q2"/>
    <x v="1"/>
  </r>
  <r>
    <s v="TXN0070"/>
    <d v="2026-05-10T00:00:00"/>
    <n v="2026"/>
    <x v="2"/>
    <x v="1"/>
    <x v="5"/>
    <s v="Monthly Salary"/>
    <x v="3"/>
    <s v="Employer"/>
    <s v="Monthly salary received"/>
    <n v="55000"/>
    <n v="0"/>
    <n v="0"/>
    <s v="Pune"/>
    <s v="Completed"/>
    <s v="Yes"/>
    <s v="Yes"/>
    <n v="182802"/>
    <x v="4"/>
    <n v="5"/>
    <s v="Q2"/>
    <x v="0"/>
  </r>
  <r>
    <s v="TXN0102"/>
    <d v="2026-05-10T00:00:00"/>
    <n v="2026"/>
    <x v="0"/>
    <x v="1"/>
    <x v="12"/>
    <s v="Project"/>
    <x v="2"/>
    <s v="Freelance Client"/>
    <s v="Freelance project payment"/>
    <n v="15000"/>
    <n v="0"/>
    <n v="10000"/>
    <s v="Delhi"/>
    <s v="Completed"/>
    <s v="No"/>
    <s v="Yes"/>
    <n v="32596"/>
    <x v="4"/>
    <n v="5"/>
    <s v="Q2"/>
    <x v="1"/>
  </r>
  <r>
    <s v="TXN0029"/>
    <d v="2026-05-11T00:00:00"/>
    <n v="2026"/>
    <x v="2"/>
    <x v="0"/>
    <x v="9"/>
    <s v="House Rent"/>
    <x v="1"/>
    <s v="City Homes"/>
    <s v="House Rent"/>
    <n v="20000"/>
    <n v="20000"/>
    <n v="0"/>
    <s v="Hyderabad"/>
    <s v="Completed"/>
    <s v="Yes"/>
    <s v="No"/>
    <n v="54912"/>
    <x v="4"/>
    <n v="5"/>
    <s v="Q2"/>
    <x v="3"/>
  </r>
  <r>
    <s v="TXN0010"/>
    <d v="2026-05-12T00:00:00"/>
    <n v="2026"/>
    <x v="2"/>
    <x v="0"/>
    <x v="3"/>
    <s v="Restaurant"/>
    <x v="2"/>
    <s v="Indian Oil"/>
    <s v="Restaurant"/>
    <n v="5742"/>
    <n v="10000"/>
    <n v="2000"/>
    <s v="Mumbai"/>
    <s v="Completed"/>
    <s v="No"/>
    <s v="No"/>
    <n v="-5730"/>
    <x v="4"/>
    <n v="5"/>
    <s v="Q2"/>
    <x v="3"/>
  </r>
  <r>
    <s v="TXN0192"/>
    <d v="2026-05-18T00:00:00"/>
    <n v="2026"/>
    <x v="2"/>
    <x v="0"/>
    <x v="6"/>
    <s v="Broadband"/>
    <x v="3"/>
    <s v="Airtel"/>
    <s v="Broadband"/>
    <n v="9532"/>
    <n v="2000"/>
    <n v="0"/>
    <s v="Bengaluru"/>
    <s v="Completed"/>
    <s v="Yes"/>
    <s v="Yes"/>
    <n v="13132"/>
    <x v="4"/>
    <n v="5"/>
    <s v="Q2"/>
    <x v="1"/>
  </r>
  <r>
    <s v="TXN0172"/>
    <d v="2026-05-21T00:00:00"/>
    <n v="2026"/>
    <x v="3"/>
    <x v="0"/>
    <x v="0"/>
    <s v="Supermarket"/>
    <x v="3"/>
    <s v="Reliance Fresh"/>
    <s v="Supermarket"/>
    <n v="16365"/>
    <n v="8000"/>
    <n v="500"/>
    <s v="Chennai"/>
    <s v="Completed"/>
    <s v="No"/>
    <s v="Yes"/>
    <n v="77459"/>
    <x v="4"/>
    <n v="5"/>
    <s v="Q2"/>
    <x v="1"/>
  </r>
  <r>
    <s v="TXN0015"/>
    <d v="2026-05-22T00:00:00"/>
    <n v="2026"/>
    <x v="0"/>
    <x v="0"/>
    <x v="4"/>
    <s v="Bill"/>
    <x v="2"/>
    <s v="Electricity Board"/>
    <s v="Bill"/>
    <n v="7091"/>
    <n v="3000"/>
    <n v="500"/>
    <s v="Hyderabad"/>
    <s v="Completed"/>
    <s v="Yes"/>
    <s v="No"/>
    <n v="-50973"/>
    <x v="4"/>
    <n v="5"/>
    <s v="Q2"/>
    <x v="0"/>
  </r>
  <r>
    <s v="TXN0021"/>
    <d v="2026-05-22T00:00:00"/>
    <n v="2026"/>
    <x v="1"/>
    <x v="0"/>
    <x v="8"/>
    <s v="Movies"/>
    <x v="3"/>
    <s v="INOX"/>
    <s v="Movies"/>
    <n v="3556"/>
    <n v="3000"/>
    <n v="1000"/>
    <s v="Mumbai"/>
    <s v="Completed"/>
    <s v="No"/>
    <s v="No"/>
    <n v="-104872"/>
    <x v="4"/>
    <n v="5"/>
    <s v="Q2"/>
    <x v="3"/>
  </r>
  <r>
    <s v="TXN0177"/>
    <d v="2026-05-22T00:00:00"/>
    <n v="2026"/>
    <x v="0"/>
    <x v="0"/>
    <x v="7"/>
    <s v="Metro"/>
    <x v="0"/>
    <s v="Metro Rail"/>
    <s v="Metro"/>
    <n v="7035"/>
    <n v="5000"/>
    <n v="500"/>
    <s v="Pune"/>
    <s v="Completed"/>
    <s v="No"/>
    <s v="No"/>
    <n v="62823"/>
    <x v="4"/>
    <n v="5"/>
    <s v="Q2"/>
    <x v="3"/>
  </r>
  <r>
    <s v="TXN0099"/>
    <d v="2026-05-23T00:00:00"/>
    <n v="2026"/>
    <x v="0"/>
    <x v="1"/>
    <x v="11"/>
    <s v="Bonus"/>
    <x v="2"/>
    <s v="Employer"/>
    <s v="Performance bonus"/>
    <n v="5000"/>
    <n v="0"/>
    <n v="2000"/>
    <s v="Delhi"/>
    <s v="Completed"/>
    <s v="No"/>
    <s v="No"/>
    <n v="32416"/>
    <x v="4"/>
    <n v="5"/>
    <s v="Q2"/>
    <x v="1"/>
  </r>
  <r>
    <s v="TXN0058"/>
    <d v="2026-05-24T00:00:00"/>
    <n v="2026"/>
    <x v="1"/>
    <x v="0"/>
    <x v="3"/>
    <s v="Restaurant"/>
    <x v="5"/>
    <s v="Local Restaurant"/>
    <s v="Restaurant"/>
    <n v="13817"/>
    <n v="10000"/>
    <n v="0"/>
    <s v="Delhi"/>
    <s v="Completed"/>
    <s v="Yes"/>
    <s v="No"/>
    <n v="64973"/>
    <x v="4"/>
    <n v="5"/>
    <s v="Q2"/>
    <x v="0"/>
  </r>
  <r>
    <s v="TXN0196"/>
    <d v="2026-05-24T00:00:00"/>
    <n v="2026"/>
    <x v="2"/>
    <x v="0"/>
    <x v="4"/>
    <s v="Bill"/>
    <x v="5"/>
    <s v="Electricity Board"/>
    <s v="Bill"/>
    <n v="14142"/>
    <n v="3000"/>
    <n v="0"/>
    <s v="Mumbai"/>
    <s v="Completed"/>
    <s v="Yes"/>
    <s v="No"/>
    <n v="54474"/>
    <x v="4"/>
    <n v="5"/>
    <s v="Q2"/>
    <x v="3"/>
  </r>
  <r>
    <s v="TXN0198"/>
    <d v="2026-05-24T00:00:00"/>
    <n v="2026"/>
    <x v="0"/>
    <x v="0"/>
    <x v="1"/>
    <s v="Medical"/>
    <x v="5"/>
    <s v="City Hospital"/>
    <s v="Medical"/>
    <n v="3090"/>
    <n v="4000"/>
    <n v="0"/>
    <s v="Pune"/>
    <s v="Completed"/>
    <s v="No"/>
    <s v="No"/>
    <n v="46154"/>
    <x v="4"/>
    <n v="5"/>
    <s v="Q2"/>
    <x v="1"/>
  </r>
  <r>
    <s v="TXN0032"/>
    <d v="2026-05-25T00:00:00"/>
    <n v="2026"/>
    <x v="2"/>
    <x v="0"/>
    <x v="1"/>
    <s v="Pharmacy"/>
    <x v="5"/>
    <s v="MedPlus"/>
    <s v="Pharmacy"/>
    <n v="6301"/>
    <n v="4000"/>
    <n v="0"/>
    <s v="Delhi"/>
    <s v="Completed"/>
    <s v="No"/>
    <s v="No"/>
    <n v="102795"/>
    <x v="4"/>
    <n v="5"/>
    <s v="Q2"/>
    <x v="1"/>
  </r>
  <r>
    <s v="TXN0120"/>
    <d v="2026-05-26T00:00:00"/>
    <n v="2026"/>
    <x v="2"/>
    <x v="0"/>
    <x v="6"/>
    <s v="Mobile"/>
    <x v="5"/>
    <s v="Jio"/>
    <s v="Mobile"/>
    <n v="5446"/>
    <n v="2000"/>
    <n v="0"/>
    <s v="Chennai"/>
    <s v="Completed"/>
    <s v="Yes"/>
    <s v="Yes"/>
    <n v="154377"/>
    <x v="4"/>
    <n v="5"/>
    <s v="Q2"/>
    <x v="2"/>
  </r>
  <r>
    <s v="TXN0188"/>
    <d v="2026-05-26T00:00:00"/>
    <n v="2026"/>
    <x v="1"/>
    <x v="0"/>
    <x v="0"/>
    <s v="Supermarket"/>
    <x v="5"/>
    <s v="DMart"/>
    <s v="Supermarket"/>
    <n v="1213"/>
    <n v="8000"/>
    <n v="0"/>
    <s v="Delhi"/>
    <s v="Completed"/>
    <s v="No"/>
    <s v="No"/>
    <n v="38907"/>
    <x v="4"/>
    <n v="5"/>
    <s v="Q2"/>
    <x v="1"/>
  </r>
  <r>
    <s v="TXN0164"/>
    <d v="2026-05-27T00:00:00"/>
    <n v="2026"/>
    <x v="0"/>
    <x v="0"/>
    <x v="3"/>
    <s v="Delivery"/>
    <x v="5"/>
    <s v="Swiggy"/>
    <s v="Delivery"/>
    <n v="17023"/>
    <n v="10000"/>
    <n v="500"/>
    <s v="Hyderabad"/>
    <s v="Completed"/>
    <s v="Yes"/>
    <s v="No"/>
    <n v="30481"/>
    <x v="4"/>
    <n v="5"/>
    <s v="Q2"/>
    <x v="2"/>
  </r>
  <r>
    <s v="TXN0174"/>
    <d v="2026-05-28T00:00:00"/>
    <n v="2026"/>
    <x v="2"/>
    <x v="0"/>
    <x v="10"/>
    <s v="Petrol"/>
    <x v="0"/>
    <s v="HP Petrol"/>
    <s v="Petrol"/>
    <n v="1878"/>
    <n v="5000"/>
    <n v="0"/>
    <s v="Pune"/>
    <s v="Completed"/>
    <s v="Yes"/>
    <s v="No"/>
    <n v="90581"/>
    <x v="4"/>
    <n v="5"/>
    <s v="Q2"/>
    <x v="1"/>
  </r>
  <r>
    <s v="TXN0005"/>
    <d v="2026-05-29T00:00:00"/>
    <n v="2026"/>
    <x v="0"/>
    <x v="1"/>
    <x v="12"/>
    <s v="Project"/>
    <x v="4"/>
    <s v="Freelance Client"/>
    <s v="Freelance project payment"/>
    <n v="5000"/>
    <n v="0"/>
    <n v="10000"/>
    <s v="Chennai"/>
    <s v="Completed"/>
    <s v="No"/>
    <s v="No"/>
    <n v="45373"/>
    <x v="4"/>
    <n v="5"/>
    <s v="Q2"/>
    <x v="3"/>
  </r>
  <r>
    <s v="TXN0088"/>
    <d v="2026-05-29T00:00:00"/>
    <n v="2026"/>
    <x v="3"/>
    <x v="0"/>
    <x v="4"/>
    <s v="Bill"/>
    <x v="4"/>
    <s v="Electricity Board"/>
    <s v="Bill"/>
    <n v="765"/>
    <n v="3000"/>
    <n v="0"/>
    <s v="Chennai"/>
    <s v="Completed"/>
    <s v="Yes"/>
    <s v="No"/>
    <n v="131123"/>
    <x v="4"/>
    <n v="5"/>
    <s v="Q2"/>
    <x v="3"/>
  </r>
  <r>
    <s v="TXN0031"/>
    <d v="2026-05-31T00:00:00"/>
    <n v="2026"/>
    <x v="0"/>
    <x v="1"/>
    <x v="5"/>
    <s v="Monthly Salary"/>
    <x v="4"/>
    <s v="Employer"/>
    <s v="Monthly salary received"/>
    <n v="55000"/>
    <n v="0"/>
    <n v="2000"/>
    <s v="Pune"/>
    <s v="Completed"/>
    <s v="Yes"/>
    <s v="Yes"/>
    <n v="109096"/>
    <x v="4"/>
    <n v="5"/>
    <s v="Q2"/>
    <x v="3"/>
  </r>
  <r>
    <s v="TXN0047"/>
    <d v="2026-05-31T00:00:00"/>
    <n v="2026"/>
    <x v="1"/>
    <x v="0"/>
    <x v="9"/>
    <s v="House Rent"/>
    <x v="5"/>
    <s v="ABC Properties"/>
    <s v="House Rent"/>
    <n v="22000"/>
    <n v="20000"/>
    <n v="2000"/>
    <s v="Delhi"/>
    <s v="Completed"/>
    <s v="Yes"/>
    <s v="No"/>
    <n v="104365"/>
    <x v="4"/>
    <n v="5"/>
    <s v="Q2"/>
    <x v="1"/>
  </r>
  <r>
    <s v="TXN0066"/>
    <d v="2026-06-01T00:00:00"/>
    <n v="2026"/>
    <x v="2"/>
    <x v="0"/>
    <x v="9"/>
    <s v="House Rent"/>
    <x v="0"/>
    <s v="ABC Properties"/>
    <s v="House Rent"/>
    <n v="18000"/>
    <n v="20000"/>
    <n v="0"/>
    <s v="Hyderabad"/>
    <s v="Completed"/>
    <s v="Yes"/>
    <s v="No"/>
    <n v="64784"/>
    <x v="5"/>
    <n v="6"/>
    <s v="Q2"/>
    <x v="1"/>
  </r>
  <r>
    <s v="TXN0108"/>
    <d v="2026-06-04T00:00:00"/>
    <n v="2026"/>
    <x v="3"/>
    <x v="1"/>
    <x v="5"/>
    <s v="Monthly Salary"/>
    <x v="4"/>
    <s v="Employer"/>
    <s v="Monthly salary received"/>
    <n v="60000"/>
    <n v="0"/>
    <n v="0"/>
    <s v="Hyderabad"/>
    <s v="Completed"/>
    <s v="Yes"/>
    <s v="Yes"/>
    <n v="60277"/>
    <x v="5"/>
    <n v="6"/>
    <s v="Q2"/>
    <x v="1"/>
  </r>
  <r>
    <s v="TXN0144"/>
    <d v="2026-06-05T00:00:00"/>
    <n v="2026"/>
    <x v="0"/>
    <x v="0"/>
    <x v="3"/>
    <s v="Groceries"/>
    <x v="2"/>
    <s v="DMart"/>
    <s v="Groceries"/>
    <n v="11245"/>
    <n v="10000"/>
    <n v="500"/>
    <s v="Delhi"/>
    <s v="Completed"/>
    <s v="No"/>
    <s v="No"/>
    <n v="159285"/>
    <x v="5"/>
    <n v="6"/>
    <s v="Q2"/>
    <x v="0"/>
  </r>
  <r>
    <s v="TXN0159"/>
    <d v="2026-06-06T00:00:00"/>
    <n v="2026"/>
    <x v="0"/>
    <x v="0"/>
    <x v="6"/>
    <s v="Mobile"/>
    <x v="3"/>
    <s v="Airtel"/>
    <s v="Mobile"/>
    <n v="13565"/>
    <n v="2000"/>
    <n v="500"/>
    <s v="Hyderabad"/>
    <s v="Completed"/>
    <s v="Yes"/>
    <s v="Yes"/>
    <n v="92551"/>
    <x v="5"/>
    <n v="6"/>
    <s v="Q2"/>
    <x v="1"/>
  </r>
  <r>
    <s v="TXN0185"/>
    <d v="2026-06-06T00:00:00"/>
    <n v="2026"/>
    <x v="3"/>
    <x v="0"/>
    <x v="7"/>
    <s v="Cab"/>
    <x v="2"/>
    <s v="Ola"/>
    <s v="Cab"/>
    <n v="8608"/>
    <n v="5000"/>
    <n v="0"/>
    <s v="Pune"/>
    <s v="Completed"/>
    <s v="Yes"/>
    <s v="No"/>
    <n v="47853"/>
    <x v="5"/>
    <n v="6"/>
    <s v="Q2"/>
    <x v="2"/>
  </r>
  <r>
    <s v="TXN0156"/>
    <d v="2026-06-08T00:00:00"/>
    <n v="2026"/>
    <x v="1"/>
    <x v="0"/>
    <x v="10"/>
    <s v="Petrol"/>
    <x v="4"/>
    <s v="Indian Oil"/>
    <s v="Petrol"/>
    <n v="11563"/>
    <n v="5000"/>
    <n v="0"/>
    <s v="Delhi"/>
    <s v="Completed"/>
    <s v="No"/>
    <s v="No"/>
    <n v="113116"/>
    <x v="5"/>
    <n v="6"/>
    <s v="Q2"/>
    <x v="0"/>
  </r>
  <r>
    <s v="TXN0193"/>
    <d v="2026-06-08T00:00:00"/>
    <n v="2026"/>
    <x v="1"/>
    <x v="1"/>
    <x v="5"/>
    <s v="Monthly Salary"/>
    <x v="2"/>
    <s v="Employer"/>
    <s v="Monthly salary received"/>
    <n v="60000"/>
    <n v="0"/>
    <n v="2000"/>
    <s v="Bengaluru"/>
    <s v="Completed"/>
    <s v="Yes"/>
    <s v="Yes"/>
    <n v="73132"/>
    <x v="5"/>
    <n v="6"/>
    <s v="Q2"/>
    <x v="1"/>
  </r>
  <r>
    <s v="TXN0049"/>
    <d v="2026-06-10T00:00:00"/>
    <n v="2026"/>
    <x v="1"/>
    <x v="0"/>
    <x v="9"/>
    <s v="House Rent"/>
    <x v="5"/>
    <s v="ABC Properties"/>
    <s v="House Rent"/>
    <n v="18000"/>
    <n v="20000"/>
    <n v="0"/>
    <s v="Pune"/>
    <s v="Completed"/>
    <s v="Yes"/>
    <s v="No"/>
    <n v="72617"/>
    <x v="5"/>
    <n v="6"/>
    <s v="Q2"/>
    <x v="0"/>
  </r>
  <r>
    <s v="TXN0082"/>
    <d v="2026-06-10T00:00:00"/>
    <n v="2026"/>
    <x v="2"/>
    <x v="1"/>
    <x v="5"/>
    <s v="Monthly Salary"/>
    <x v="1"/>
    <s v="Employer"/>
    <s v="Monthly salary received"/>
    <n v="55000"/>
    <n v="0"/>
    <n v="0"/>
    <s v="Chennai"/>
    <s v="Completed"/>
    <s v="Yes"/>
    <s v="Yes"/>
    <n v="188863"/>
    <x v="5"/>
    <n v="6"/>
    <s v="Q2"/>
    <x v="3"/>
  </r>
  <r>
    <s v="TXN0083"/>
    <d v="2026-06-12T00:00:00"/>
    <n v="2026"/>
    <x v="3"/>
    <x v="0"/>
    <x v="4"/>
    <s v="Bill"/>
    <x v="5"/>
    <s v="Electricity Board"/>
    <s v="Bill"/>
    <n v="3793"/>
    <n v="3000"/>
    <n v="0"/>
    <s v="Bengaluru"/>
    <s v="Completed"/>
    <s v="Yes"/>
    <s v="No"/>
    <n v="185070"/>
    <x v="5"/>
    <n v="6"/>
    <s v="Q2"/>
    <x v="1"/>
  </r>
  <r>
    <s v="TXN0121"/>
    <d v="2026-06-12T00:00:00"/>
    <n v="2026"/>
    <x v="3"/>
    <x v="0"/>
    <x v="6"/>
    <s v="Broadband"/>
    <x v="5"/>
    <s v="Airtel"/>
    <s v="Broadband"/>
    <n v="10671"/>
    <n v="2000"/>
    <n v="1000"/>
    <s v="Hyderabad"/>
    <s v="Completed"/>
    <s v="Yes"/>
    <s v="Yes"/>
    <n v="143706"/>
    <x v="5"/>
    <n v="6"/>
    <s v="Q2"/>
    <x v="0"/>
  </r>
  <r>
    <s v="TXN0125"/>
    <d v="2026-06-12T00:00:00"/>
    <n v="2026"/>
    <x v="3"/>
    <x v="0"/>
    <x v="8"/>
    <s v="Streaming"/>
    <x v="0"/>
    <s v="Netflix"/>
    <s v="Streaming"/>
    <n v="9810"/>
    <n v="3000"/>
    <n v="2000"/>
    <s v="Mumbai"/>
    <s v="Completed"/>
    <s v="Yes"/>
    <s v="No"/>
    <n v="160517"/>
    <x v="5"/>
    <n v="6"/>
    <s v="Q2"/>
    <x v="1"/>
  </r>
  <r>
    <s v="TXN0006"/>
    <d v="2026-06-13T00:00:00"/>
    <n v="2026"/>
    <x v="3"/>
    <x v="0"/>
    <x v="1"/>
    <s v="Medical"/>
    <x v="4"/>
    <s v="City Hospital"/>
    <s v="Medical"/>
    <n v="2839"/>
    <n v="4000"/>
    <n v="0"/>
    <s v="Bengaluru"/>
    <s v="Completed"/>
    <s v="Yes"/>
    <s v="No"/>
    <n v="42534"/>
    <x v="5"/>
    <n v="6"/>
    <s v="Q2"/>
    <x v="1"/>
  </r>
  <r>
    <s v="TXN0001"/>
    <d v="2026-06-14T00:00:00"/>
    <n v="2026"/>
    <x v="1"/>
    <x v="0"/>
    <x v="1"/>
    <s v="Pharmacy"/>
    <x v="2"/>
    <s v="Apollo Pharmacy"/>
    <s v="Pharmacy"/>
    <n v="5072"/>
    <n v="4000"/>
    <n v="2000"/>
    <s v="Mumbai"/>
    <s v="Completed"/>
    <s v="No"/>
    <s v="No"/>
    <n v="19928"/>
    <x v="5"/>
    <n v="6"/>
    <s v="Q2"/>
    <x v="2"/>
  </r>
  <r>
    <s v="TXN0030"/>
    <d v="2026-06-14T00:00:00"/>
    <n v="2026"/>
    <x v="3"/>
    <x v="0"/>
    <x v="8"/>
    <s v="Streaming"/>
    <x v="1"/>
    <s v="Netflix"/>
    <s v="Streaming"/>
    <n v="816"/>
    <n v="3000"/>
    <n v="0"/>
    <s v="Bengaluru"/>
    <s v="Completed"/>
    <s v="No"/>
    <s v="No"/>
    <n v="54096"/>
    <x v="5"/>
    <n v="6"/>
    <s v="Q2"/>
    <x v="1"/>
  </r>
  <r>
    <s v="TXN0086"/>
    <d v="2026-06-14T00:00:00"/>
    <n v="2026"/>
    <x v="3"/>
    <x v="0"/>
    <x v="9"/>
    <s v="House Rent"/>
    <x v="1"/>
    <s v="City Homes"/>
    <s v="House Rent"/>
    <n v="18000"/>
    <n v="20000"/>
    <n v="1000"/>
    <s v="Pune"/>
    <s v="Completed"/>
    <s v="Yes"/>
    <s v="No"/>
    <n v="144993"/>
    <x v="5"/>
    <n v="6"/>
    <s v="Q2"/>
    <x v="3"/>
  </r>
  <r>
    <s v="TXN0087"/>
    <d v="2026-06-14T00:00:00"/>
    <n v="2026"/>
    <x v="2"/>
    <x v="0"/>
    <x v="0"/>
    <s v="Clothing"/>
    <x v="5"/>
    <s v="Ajio"/>
    <s v="Clothing"/>
    <n v="13105"/>
    <n v="8000"/>
    <n v="0"/>
    <s v="Chennai"/>
    <s v="Completed"/>
    <s v="No"/>
    <s v="Yes"/>
    <n v="131888"/>
    <x v="5"/>
    <n v="6"/>
    <s v="Q2"/>
    <x v="0"/>
  </r>
  <r>
    <s v="TXN0157"/>
    <d v="2026-06-15T00:00:00"/>
    <n v="2026"/>
    <x v="3"/>
    <x v="1"/>
    <x v="12"/>
    <s v="Project"/>
    <x v="3"/>
    <s v="Freelance Client"/>
    <s v="Freelance project payment"/>
    <n v="15000"/>
    <n v="0"/>
    <n v="5000"/>
    <s v="Chennai"/>
    <s v="Completed"/>
    <s v="Yes"/>
    <s v="Yes"/>
    <n v="128116"/>
    <x v="5"/>
    <n v="6"/>
    <s v="Q2"/>
    <x v="1"/>
  </r>
  <r>
    <s v="TXN0059"/>
    <d v="2026-06-16T00:00:00"/>
    <n v="2026"/>
    <x v="2"/>
    <x v="0"/>
    <x v="3"/>
    <s v="Dining"/>
    <x v="5"/>
    <s v="Cafe Coffee"/>
    <s v="Dining"/>
    <n v="7761"/>
    <n v="10000"/>
    <n v="0"/>
    <s v="Pune"/>
    <s v="Completed"/>
    <s v="Yes"/>
    <s v="No"/>
    <n v="57212"/>
    <x v="5"/>
    <n v="6"/>
    <s v="Q2"/>
    <x v="1"/>
  </r>
  <r>
    <s v="TXN0094"/>
    <d v="2026-06-16T00:00:00"/>
    <n v="2026"/>
    <x v="1"/>
    <x v="0"/>
    <x v="0"/>
    <s v="Supermarket"/>
    <x v="1"/>
    <s v="DMart"/>
    <s v="Supermarket"/>
    <n v="13879"/>
    <n v="8000"/>
    <n v="0"/>
    <s v="Chennai"/>
    <s v="Completed"/>
    <s v="No"/>
    <s v="Yes"/>
    <n v="84838"/>
    <x v="5"/>
    <n v="6"/>
    <s v="Q2"/>
    <x v="1"/>
  </r>
  <r>
    <s v="TXN0178"/>
    <d v="2026-06-17T00:00:00"/>
    <n v="2026"/>
    <x v="0"/>
    <x v="0"/>
    <x v="9"/>
    <s v="House Rent"/>
    <x v="1"/>
    <s v="City Homes"/>
    <s v="House Rent"/>
    <n v="18000"/>
    <n v="20000"/>
    <n v="1000"/>
    <s v="Delhi"/>
    <s v="Completed"/>
    <s v="Yes"/>
    <s v="No"/>
    <n v="44823"/>
    <x v="5"/>
    <n v="6"/>
    <s v="Q2"/>
    <x v="0"/>
  </r>
  <r>
    <s v="TXN0105"/>
    <d v="2026-06-18T00:00:00"/>
    <n v="2026"/>
    <x v="0"/>
    <x v="0"/>
    <x v="1"/>
    <s v="Medical"/>
    <x v="5"/>
    <s v="City Hospital"/>
    <s v="Medical"/>
    <n v="11606"/>
    <n v="4000"/>
    <n v="1000"/>
    <s v="Pune"/>
    <s v="Completed"/>
    <s v="No"/>
    <s v="No"/>
    <n v="2476"/>
    <x v="5"/>
    <n v="6"/>
    <s v="Q2"/>
    <x v="0"/>
  </r>
  <r>
    <s v="TXN0169"/>
    <d v="2026-06-18T00:00:00"/>
    <n v="2026"/>
    <x v="0"/>
    <x v="1"/>
    <x v="5"/>
    <s v="Monthly Salary"/>
    <x v="4"/>
    <s v="Employer"/>
    <s v="Monthly salary received"/>
    <n v="50000"/>
    <n v="0"/>
    <n v="0"/>
    <s v="Chennai"/>
    <s v="Completed"/>
    <s v="Yes"/>
    <s v="Yes"/>
    <n v="47771"/>
    <x v="5"/>
    <n v="6"/>
    <s v="Q2"/>
    <x v="3"/>
  </r>
  <r>
    <s v="TXN0175"/>
    <d v="2026-06-18T00:00:00"/>
    <n v="2026"/>
    <x v="3"/>
    <x v="0"/>
    <x v="1"/>
    <s v="Medical"/>
    <x v="3"/>
    <s v="City Hospital"/>
    <s v="Medical"/>
    <n v="9400"/>
    <n v="4000"/>
    <n v="2000"/>
    <s v="Chennai"/>
    <s v="Completed"/>
    <s v="No"/>
    <s v="No"/>
    <n v="81181"/>
    <x v="5"/>
    <n v="6"/>
    <s v="Q2"/>
    <x v="0"/>
  </r>
  <r>
    <s v="TXN0040"/>
    <d v="2026-06-19T00:00:00"/>
    <n v="2026"/>
    <x v="1"/>
    <x v="0"/>
    <x v="6"/>
    <s v="Broadband"/>
    <x v="2"/>
    <s v="Airtel"/>
    <s v="Broadband"/>
    <n v="8196"/>
    <n v="2000"/>
    <n v="500"/>
    <s v="Hyderabad"/>
    <s v="Completed"/>
    <s v="Yes"/>
    <s v="Yes"/>
    <n v="178529"/>
    <x v="5"/>
    <n v="6"/>
    <s v="Q2"/>
    <x v="2"/>
  </r>
  <r>
    <s v="TXN0139"/>
    <d v="2026-06-19T00:00:00"/>
    <n v="2026"/>
    <x v="1"/>
    <x v="0"/>
    <x v="6"/>
    <s v="Broadband"/>
    <x v="0"/>
    <s v="JioFiber"/>
    <s v="Broadband"/>
    <n v="1952"/>
    <n v="2000"/>
    <n v="2000"/>
    <s v="Delhi"/>
    <s v="Completed"/>
    <s v="Yes"/>
    <s v="No"/>
    <n v="208739"/>
    <x v="5"/>
    <n v="6"/>
    <s v="Q2"/>
    <x v="0"/>
  </r>
  <r>
    <s v="TXN0073"/>
    <d v="2026-06-20T00:00:00"/>
    <n v="2026"/>
    <x v="2"/>
    <x v="1"/>
    <x v="5"/>
    <s v="Monthly Salary"/>
    <x v="2"/>
    <s v="Employer"/>
    <s v="Monthly salary received"/>
    <n v="55000"/>
    <n v="0"/>
    <n v="10000"/>
    <s v="Delhi"/>
    <s v="Completed"/>
    <s v="Yes"/>
    <s v="Yes"/>
    <n v="210033"/>
    <x v="5"/>
    <n v="6"/>
    <s v="Q2"/>
    <x v="0"/>
  </r>
  <r>
    <s v="TXN0129"/>
    <d v="2026-06-20T00:00:00"/>
    <n v="2026"/>
    <x v="3"/>
    <x v="1"/>
    <x v="5"/>
    <s v="Monthly Salary"/>
    <x v="4"/>
    <s v="Employer"/>
    <s v="Monthly salary received"/>
    <n v="50000"/>
    <n v="0"/>
    <n v="10000"/>
    <s v="Delhi"/>
    <s v="Completed"/>
    <s v="Yes"/>
    <s v="Yes"/>
    <n v="195952"/>
    <x v="5"/>
    <n v="6"/>
    <s v="Q2"/>
    <x v="0"/>
  </r>
  <r>
    <s v="TXN0018"/>
    <d v="2026-06-22T00:00:00"/>
    <n v="2026"/>
    <x v="2"/>
    <x v="0"/>
    <x v="7"/>
    <s v="Cab"/>
    <x v="5"/>
    <s v="Uber"/>
    <s v="Cab"/>
    <n v="15998"/>
    <n v="5000"/>
    <n v="0"/>
    <s v="Bengaluru"/>
    <s v="Completed"/>
    <s v="No"/>
    <s v="No"/>
    <n v="-69689"/>
    <x v="5"/>
    <n v="6"/>
    <s v="Q2"/>
    <x v="0"/>
  </r>
  <r>
    <s v="TXN0033"/>
    <d v="2026-06-22T00:00:00"/>
    <n v="2026"/>
    <x v="0"/>
    <x v="1"/>
    <x v="12"/>
    <s v="Project"/>
    <x v="1"/>
    <s v="Freelance Client"/>
    <s v="Freelance project payment"/>
    <n v="5000"/>
    <n v="0"/>
    <n v="2000"/>
    <s v="Hyderabad"/>
    <s v="Completed"/>
    <s v="No"/>
    <s v="No"/>
    <n v="107795"/>
    <x v="5"/>
    <n v="6"/>
    <s v="Q2"/>
    <x v="2"/>
  </r>
  <r>
    <s v="TXN0071"/>
    <d v="2026-06-23T00:00:00"/>
    <n v="2026"/>
    <x v="1"/>
    <x v="0"/>
    <x v="9"/>
    <s v="House Rent"/>
    <x v="0"/>
    <s v="City Homes"/>
    <s v="House Rent"/>
    <n v="22000"/>
    <n v="20000"/>
    <n v="0"/>
    <s v="Chennai"/>
    <s v="Completed"/>
    <s v="Yes"/>
    <s v="No"/>
    <n v="160802"/>
    <x v="5"/>
    <n v="6"/>
    <s v="Q2"/>
    <x v="2"/>
  </r>
  <r>
    <s v="TXN0093"/>
    <d v="2026-06-23T00:00:00"/>
    <n v="2026"/>
    <x v="3"/>
    <x v="0"/>
    <x v="6"/>
    <s v="Broadband"/>
    <x v="5"/>
    <s v="JioFiber"/>
    <s v="Broadband"/>
    <n v="8161"/>
    <n v="2000"/>
    <n v="0"/>
    <s v="Delhi"/>
    <s v="Completed"/>
    <s v="Yes"/>
    <s v="Yes"/>
    <n v="98717"/>
    <x v="5"/>
    <n v="6"/>
    <s v="Q2"/>
    <x v="1"/>
  </r>
  <r>
    <s v="TXN0035"/>
    <d v="2026-06-24T00:00:00"/>
    <n v="2026"/>
    <x v="3"/>
    <x v="1"/>
    <x v="2"/>
    <s v="Interest"/>
    <x v="2"/>
    <s v="ICICI Bank"/>
    <s v="Bank interest received"/>
    <n v="1200"/>
    <n v="0"/>
    <n v="10000"/>
    <s v="Mumbai"/>
    <s v="Completed"/>
    <s v="No"/>
    <s v="No"/>
    <n v="163995"/>
    <x v="5"/>
    <n v="6"/>
    <s v="Q2"/>
    <x v="0"/>
  </r>
  <r>
    <s v="TXN0092"/>
    <d v="2026-06-24T00:00:00"/>
    <n v="2026"/>
    <x v="2"/>
    <x v="0"/>
    <x v="4"/>
    <s v="Bill"/>
    <x v="4"/>
    <s v="Electricity Board"/>
    <s v="Bill"/>
    <n v="9165"/>
    <n v="3000"/>
    <n v="0"/>
    <s v="Delhi"/>
    <s v="Completed"/>
    <s v="Yes"/>
    <s v="No"/>
    <n v="106878"/>
    <x v="5"/>
    <n v="6"/>
    <s v="Q2"/>
    <x v="0"/>
  </r>
  <r>
    <s v="TXN0131"/>
    <d v="2026-06-24T00:00:00"/>
    <n v="2026"/>
    <x v="2"/>
    <x v="0"/>
    <x v="4"/>
    <s v="Bill"/>
    <x v="3"/>
    <s v="Electricity Board"/>
    <s v="Bill"/>
    <n v="5810"/>
    <n v="3000"/>
    <n v="2000"/>
    <s v="Pune"/>
    <s v="Completed"/>
    <s v="Yes"/>
    <s v="No"/>
    <n v="172144"/>
    <x v="5"/>
    <n v="6"/>
    <s v="Q2"/>
    <x v="3"/>
  </r>
  <r>
    <s v="TXN0187"/>
    <d v="2026-06-25T00:00:00"/>
    <n v="2026"/>
    <x v="0"/>
    <x v="0"/>
    <x v="3"/>
    <s v="Delivery"/>
    <x v="5"/>
    <s v="Zomato"/>
    <s v="Delivery"/>
    <n v="2323"/>
    <n v="10000"/>
    <n v="2000"/>
    <s v="Chennai"/>
    <s v="Completed"/>
    <s v="No"/>
    <s v="No"/>
    <n v="40120"/>
    <x v="5"/>
    <n v="6"/>
    <s v="Q2"/>
    <x v="0"/>
  </r>
  <r>
    <s v="TXN0103"/>
    <d v="2026-06-26T00:00:00"/>
    <n v="2026"/>
    <x v="1"/>
    <x v="0"/>
    <x v="7"/>
    <s v="Cab"/>
    <x v="0"/>
    <s v="Uber"/>
    <s v="Cab"/>
    <n v="3147"/>
    <n v="5000"/>
    <n v="0"/>
    <s v="Pune"/>
    <s v="Completed"/>
    <s v="Yes"/>
    <s v="No"/>
    <n v="29449"/>
    <x v="5"/>
    <n v="6"/>
    <s v="Q2"/>
    <x v="2"/>
  </r>
  <r>
    <s v="TXN0140"/>
    <d v="2026-06-26T00:00:00"/>
    <n v="2026"/>
    <x v="2"/>
    <x v="0"/>
    <x v="10"/>
    <s v="Petrol"/>
    <x v="2"/>
    <s v="HP Petrol"/>
    <s v="Petrol"/>
    <n v="2567"/>
    <n v="5000"/>
    <n v="0"/>
    <s v="Chennai"/>
    <s v="Completed"/>
    <s v="No"/>
    <s v="No"/>
    <n v="206172"/>
    <x v="5"/>
    <n v="6"/>
    <s v="Q2"/>
    <x v="2"/>
  </r>
  <r>
    <s v="TXN0158"/>
    <d v="2026-06-26T00:00:00"/>
    <n v="2026"/>
    <x v="2"/>
    <x v="0"/>
    <x v="9"/>
    <s v="House Rent"/>
    <x v="5"/>
    <s v="ABC Properties"/>
    <s v="House Rent"/>
    <n v="22000"/>
    <n v="20000"/>
    <n v="1000"/>
    <s v="Hyderabad"/>
    <s v="Completed"/>
    <s v="Yes"/>
    <s v="No"/>
    <n v="106116"/>
    <x v="5"/>
    <n v="6"/>
    <s v="Q2"/>
    <x v="1"/>
  </r>
  <r>
    <s v="TXN0184"/>
    <d v="2026-06-27T00:00:00"/>
    <n v="2026"/>
    <x v="1"/>
    <x v="0"/>
    <x v="0"/>
    <s v="Electronics"/>
    <x v="3"/>
    <s v="Amazon"/>
    <s v="Electronics"/>
    <n v="7736"/>
    <n v="8000"/>
    <n v="1000"/>
    <s v="Chennai"/>
    <s v="Completed"/>
    <s v="No"/>
    <s v="Yes"/>
    <n v="56461"/>
    <x v="5"/>
    <n v="6"/>
    <s v="Q2"/>
    <x v="2"/>
  </r>
  <r>
    <s v="TXN0054"/>
    <d v="2026-06-29T00:00:00"/>
    <n v="2026"/>
    <x v="3"/>
    <x v="0"/>
    <x v="3"/>
    <s v="Groceries"/>
    <x v="4"/>
    <s v="BigBasket"/>
    <s v="Groceries"/>
    <n v="11877"/>
    <n v="10000"/>
    <n v="500"/>
    <s v="Chennai"/>
    <s v="Completed"/>
    <s v="No"/>
    <s v="No"/>
    <n v="100711"/>
    <x v="5"/>
    <n v="6"/>
    <s v="Q2"/>
    <x v="2"/>
  </r>
  <r>
    <s v="TXN0068"/>
    <d v="2026-06-30T00:00:00"/>
    <n v="2026"/>
    <x v="2"/>
    <x v="0"/>
    <x v="0"/>
    <s v="Supermarket"/>
    <x v="5"/>
    <s v="DMart"/>
    <s v="Supermarket"/>
    <n v="6982"/>
    <n v="8000"/>
    <n v="2000"/>
    <s v="Mumbai"/>
    <s v="Completed"/>
    <s v="No"/>
    <s v="Yes"/>
    <n v="112802"/>
    <x v="5"/>
    <n v="6"/>
    <s v="Q2"/>
    <x v="1"/>
  </r>
  <r>
    <s v="TXN0046"/>
    <d v="2026-07-01T00:00:00"/>
    <n v="2026"/>
    <x v="0"/>
    <x v="0"/>
    <x v="6"/>
    <s v="Mobile"/>
    <x v="1"/>
    <s v="Jio"/>
    <s v="Mobile"/>
    <n v="14124"/>
    <n v="2000"/>
    <n v="0"/>
    <s v="Mumbai"/>
    <s v="Completed"/>
    <s v="Yes"/>
    <s v="Yes"/>
    <n v="126365"/>
    <x v="6"/>
    <n v="7"/>
    <s v="Q3"/>
    <x v="1"/>
  </r>
  <r>
    <s v="TXN0080"/>
    <d v="2026-07-01T00:00:00"/>
    <n v="2026"/>
    <x v="2"/>
    <x v="0"/>
    <x v="10"/>
    <s v="Petrol"/>
    <x v="3"/>
    <s v="HP Petrol"/>
    <s v="Petrol"/>
    <n v="1713"/>
    <n v="5000"/>
    <n v="2000"/>
    <s v="Pune"/>
    <s v="Completed"/>
    <s v="Yes"/>
    <s v="No"/>
    <n v="151863"/>
    <x v="6"/>
    <n v="7"/>
    <s v="Q3"/>
    <x v="2"/>
  </r>
  <r>
    <s v="TXN0171"/>
    <d v="2026-07-01T00:00:00"/>
    <n v="2026"/>
    <x v="0"/>
    <x v="1"/>
    <x v="5"/>
    <s v="Monthly Salary"/>
    <x v="3"/>
    <s v="Employer"/>
    <s v="Monthly salary received"/>
    <n v="60000"/>
    <n v="0"/>
    <n v="2000"/>
    <s v="Delhi"/>
    <s v="Completed"/>
    <s v="Yes"/>
    <s v="Yes"/>
    <n v="93824"/>
    <x v="6"/>
    <n v="7"/>
    <s v="Q3"/>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19276C4-797E-46EB-B081-177EB55F09B5}" name="PivotTable4"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8">
  <location ref="E20:F26" firstHeaderRow="1" firstDataRow="1" firstDataCol="1"/>
  <pivotFields count="22">
    <pivotField showAll="0"/>
    <pivotField numFmtId="14" showAll="0"/>
    <pivotField showAll="0"/>
    <pivotField showAll="0"/>
    <pivotField showAll="0"/>
    <pivotField showAll="0"/>
    <pivotField showAll="0"/>
    <pivotField showAll="0">
      <items count="7">
        <item x="2"/>
        <item x="1"/>
        <item x="5"/>
        <item x="0"/>
        <item x="4"/>
        <item x="3"/>
        <item t="default"/>
      </items>
    </pivotField>
    <pivotField showAll="0"/>
    <pivotField showAll="0"/>
    <pivotField dataField="1" numFmtId="165" showAll="0"/>
    <pivotField numFmtId="165" showAll="0"/>
    <pivotField numFmtId="165" showAll="0"/>
    <pivotField showAll="0"/>
    <pivotField showAll="0"/>
    <pivotField showAll="0"/>
    <pivotField showAll="0"/>
    <pivotField numFmtId="165" showAll="0"/>
    <pivotField showAll="0">
      <items count="8">
        <item x="0"/>
        <item x="1"/>
        <item x="2"/>
        <item x="3"/>
        <item x="4"/>
        <item x="5"/>
        <item x="6"/>
        <item t="default"/>
      </items>
    </pivotField>
    <pivotField showAll="0"/>
    <pivotField showAll="0"/>
    <pivotField axis="axisRow" showAll="0">
      <items count="6">
        <item x="2"/>
        <item x="1"/>
        <item x="0"/>
        <item x="4"/>
        <item x="3"/>
        <item t="default"/>
      </items>
    </pivotField>
  </pivotFields>
  <rowFields count="1">
    <field x="21"/>
  </rowFields>
  <rowItems count="6">
    <i>
      <x/>
    </i>
    <i>
      <x v="1"/>
    </i>
    <i>
      <x v="2"/>
    </i>
    <i>
      <x v="3"/>
    </i>
    <i>
      <x v="4"/>
    </i>
    <i t="grand">
      <x/>
    </i>
  </rowItems>
  <colItems count="1">
    <i/>
  </colItems>
  <dataFields count="1">
    <dataField name="Sum of Amount" fld="10" baseField="0" baseItem="0" numFmtId="165"/>
  </dataFields>
  <chartFormats count="5">
    <chartFormat chart="3" format="2" series="1">
      <pivotArea type="data" outline="0" fieldPosition="0">
        <references count="1">
          <reference field="4294967294" count="1" selected="0">
            <x v="0"/>
          </reference>
        </references>
      </pivotArea>
    </chartFormat>
    <chartFormat chart="5" format="4"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21" count="1" selected="0">
            <x v="2"/>
          </reference>
        </references>
      </pivotArea>
    </chartFormat>
    <chartFormat chart="3" format="4">
      <pivotArea type="data" outline="0" fieldPosition="0">
        <references count="2">
          <reference field="4294967294" count="1" selected="0">
            <x v="0"/>
          </reference>
          <reference field="21" count="1" selected="0">
            <x v="4"/>
          </reference>
        </references>
      </pivotArea>
    </chartFormat>
    <chartFormat chart="3" format="5">
      <pivotArea type="data" outline="0" fieldPosition="0">
        <references count="2">
          <reference field="4294967294" count="1" selected="0">
            <x v="0"/>
          </reference>
          <reference field="2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33F7362-20B1-48F6-A8B8-C78DF6D590B8}" name="PivotTable6"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14">
  <location ref="O23:P28" firstHeaderRow="1" firstDataRow="1" firstDataCol="1" rowPageCount="1" colPageCount="1"/>
  <pivotFields count="22">
    <pivotField showAll="0"/>
    <pivotField numFmtId="14" showAll="0"/>
    <pivotField showAll="0"/>
    <pivotField showAll="0"/>
    <pivotField axis="axisPage" showAll="0">
      <items count="3">
        <item x="0"/>
        <item x="1"/>
        <item t="default"/>
      </items>
    </pivotField>
    <pivotField axis="axisRow" showAll="0">
      <items count="14">
        <item x="11"/>
        <item x="4"/>
        <item x="8"/>
        <item x="3"/>
        <item x="12"/>
        <item x="10"/>
        <item x="1"/>
        <item x="2"/>
        <item x="6"/>
        <item x="9"/>
        <item x="5"/>
        <item x="0"/>
        <item x="7"/>
        <item t="default"/>
      </items>
    </pivotField>
    <pivotField showAll="0"/>
    <pivotField showAll="0">
      <items count="7">
        <item x="2"/>
        <item x="1"/>
        <item x="5"/>
        <item x="0"/>
        <item x="4"/>
        <item x="3"/>
        <item t="default"/>
      </items>
    </pivotField>
    <pivotField showAll="0"/>
    <pivotField showAll="0"/>
    <pivotField dataField="1" numFmtId="165" showAll="0"/>
    <pivotField numFmtId="165" showAll="0"/>
    <pivotField numFmtId="165" showAll="0"/>
    <pivotField showAll="0"/>
    <pivotField showAll="0"/>
    <pivotField showAll="0"/>
    <pivotField showAll="0"/>
    <pivotField numFmtId="165" showAll="0"/>
    <pivotField showAll="0">
      <items count="8">
        <item x="0"/>
        <item x="1"/>
        <item x="2"/>
        <item x="3"/>
        <item x="4"/>
        <item x="5"/>
        <item x="6"/>
        <item t="default"/>
      </items>
    </pivotField>
    <pivotField showAll="0"/>
    <pivotField showAll="0"/>
    <pivotField showAll="0"/>
  </pivotFields>
  <rowFields count="1">
    <field x="5"/>
  </rowFields>
  <rowItems count="5">
    <i>
      <x/>
    </i>
    <i>
      <x v="4"/>
    </i>
    <i>
      <x v="7"/>
    </i>
    <i>
      <x v="10"/>
    </i>
    <i t="grand">
      <x/>
    </i>
  </rowItems>
  <colItems count="1">
    <i/>
  </colItems>
  <pageFields count="1">
    <pageField fld="4" item="1" hier="-1"/>
  </pageFields>
  <dataFields count="1">
    <dataField name="Sum of Amount" fld="10" baseField="0" baseItem="0" numFmtId="165"/>
  </dataFields>
  <chartFormats count="1">
    <chartFormat chart="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25773DC-0168-429B-A3E3-316DC9CB7124}" name="PivotTable2" cacheId="0" applyNumberFormats="0" applyBorderFormats="0" applyFontFormats="0" applyPatternFormats="0" applyAlignmentFormats="0" applyWidthHeightFormats="1" dataCaption="Values" updatedVersion="8" minRefreshableVersion="3" colGrandTotals="0" itemPrintTitles="1" createdVersion="8" indent="0" outline="1" outlineData="1" multipleFieldFilters="0" chartFormat="8">
  <location ref="G4:I13" firstHeaderRow="1" firstDataRow="2" firstDataCol="1"/>
  <pivotFields count="22">
    <pivotField showAll="0"/>
    <pivotField numFmtId="14" showAll="0"/>
    <pivotField showAll="0"/>
    <pivotField showAll="0"/>
    <pivotField axis="axisCol" showAll="0">
      <items count="3">
        <item x="0"/>
        <item x="1"/>
        <item t="default"/>
      </items>
    </pivotField>
    <pivotField showAll="0"/>
    <pivotField showAll="0"/>
    <pivotField showAll="0">
      <items count="7">
        <item x="2"/>
        <item x="1"/>
        <item x="5"/>
        <item x="0"/>
        <item x="4"/>
        <item x="3"/>
        <item t="default"/>
      </items>
    </pivotField>
    <pivotField showAll="0"/>
    <pivotField showAll="0"/>
    <pivotField dataField="1" numFmtId="165" showAll="0"/>
    <pivotField numFmtId="165" showAll="0"/>
    <pivotField numFmtId="165" showAll="0"/>
    <pivotField showAll="0"/>
    <pivotField showAll="0"/>
    <pivotField showAll="0"/>
    <pivotField showAll="0"/>
    <pivotField numFmtId="165" showAll="0"/>
    <pivotField axis="axisRow" showAll="0">
      <items count="8">
        <item x="0"/>
        <item x="1"/>
        <item x="2"/>
        <item x="3"/>
        <item x="4"/>
        <item x="5"/>
        <item x="6"/>
        <item t="default"/>
      </items>
    </pivotField>
    <pivotField showAll="0"/>
    <pivotField showAll="0"/>
    <pivotField showAll="0"/>
  </pivotFields>
  <rowFields count="1">
    <field x="18"/>
  </rowFields>
  <rowItems count="8">
    <i>
      <x/>
    </i>
    <i>
      <x v="1"/>
    </i>
    <i>
      <x v="2"/>
    </i>
    <i>
      <x v="3"/>
    </i>
    <i>
      <x v="4"/>
    </i>
    <i>
      <x v="5"/>
    </i>
    <i>
      <x v="6"/>
    </i>
    <i t="grand">
      <x/>
    </i>
  </rowItems>
  <colFields count="1">
    <field x="4"/>
  </colFields>
  <colItems count="2">
    <i>
      <x/>
    </i>
    <i>
      <x v="1"/>
    </i>
  </colItems>
  <dataFields count="1">
    <dataField name="Sum of Amount" fld="10" baseField="0" baseItem="0" numFmtId="165"/>
  </dataFields>
  <chartFormats count="12">
    <chartFormat chart="3" format="4" series="1">
      <pivotArea type="data" outline="0" fieldPosition="0">
        <references count="2">
          <reference field="4294967294" count="1" selected="0">
            <x v="0"/>
          </reference>
          <reference field="4" count="1" selected="0">
            <x v="0"/>
          </reference>
        </references>
      </pivotArea>
    </chartFormat>
    <chartFormat chart="3" format="5" series="1">
      <pivotArea type="data" outline="0" fieldPosition="0">
        <references count="2">
          <reference field="4294967294" count="1" selected="0">
            <x v="0"/>
          </reference>
          <reference field="4" count="1" selected="0">
            <x v="1"/>
          </reference>
        </references>
      </pivotArea>
    </chartFormat>
    <chartFormat chart="3" format="7">
      <pivotArea type="data" outline="0" fieldPosition="0">
        <references count="3">
          <reference field="4294967294" count="1" selected="0">
            <x v="0"/>
          </reference>
          <reference field="4" count="1" selected="0">
            <x v="1"/>
          </reference>
          <reference field="18" count="1" selected="0">
            <x v="1"/>
          </reference>
        </references>
      </pivotArea>
    </chartFormat>
    <chartFormat chart="3" format="8">
      <pivotArea type="data" outline="0" fieldPosition="0">
        <references count="3">
          <reference field="4294967294" count="1" selected="0">
            <x v="0"/>
          </reference>
          <reference field="4" count="1" selected="0">
            <x v="1"/>
          </reference>
          <reference field="18" count="1" selected="0">
            <x v="5"/>
          </reference>
        </references>
      </pivotArea>
    </chartFormat>
    <chartFormat chart="3" format="9">
      <pivotArea type="data" outline="0" fieldPosition="0">
        <references count="3">
          <reference field="4294967294" count="1" selected="0">
            <x v="0"/>
          </reference>
          <reference field="4" count="1" selected="0">
            <x v="0"/>
          </reference>
          <reference field="18" count="1" selected="0">
            <x v="5"/>
          </reference>
        </references>
      </pivotArea>
    </chartFormat>
    <chartFormat chart="7" format="16" series="1">
      <pivotArea type="data" outline="0" fieldPosition="0">
        <references count="2">
          <reference field="4294967294" count="1" selected="0">
            <x v="0"/>
          </reference>
          <reference field="4" count="1" selected="0">
            <x v="0"/>
          </reference>
        </references>
      </pivotArea>
    </chartFormat>
    <chartFormat chart="7" format="17">
      <pivotArea type="data" outline="0" fieldPosition="0">
        <references count="3">
          <reference field="4294967294" count="1" selected="0">
            <x v="0"/>
          </reference>
          <reference field="4" count="1" selected="0">
            <x v="0"/>
          </reference>
          <reference field="18" count="1" selected="0">
            <x v="5"/>
          </reference>
        </references>
      </pivotArea>
    </chartFormat>
    <chartFormat chart="7" format="18" series="1">
      <pivotArea type="data" outline="0" fieldPosition="0">
        <references count="2">
          <reference field="4294967294" count="1" selected="0">
            <x v="0"/>
          </reference>
          <reference field="4" count="1" selected="0">
            <x v="1"/>
          </reference>
        </references>
      </pivotArea>
    </chartFormat>
    <chartFormat chart="7" format="19">
      <pivotArea type="data" outline="0" fieldPosition="0">
        <references count="3">
          <reference field="4294967294" count="1" selected="0">
            <x v="0"/>
          </reference>
          <reference field="4" count="1" selected="0">
            <x v="1"/>
          </reference>
          <reference field="18" count="1" selected="0">
            <x v="1"/>
          </reference>
        </references>
      </pivotArea>
    </chartFormat>
    <chartFormat chart="7" format="20">
      <pivotArea type="data" outline="0" fieldPosition="0">
        <references count="3">
          <reference field="4294967294" count="1" selected="0">
            <x v="0"/>
          </reference>
          <reference field="4" count="1" selected="0">
            <x v="1"/>
          </reference>
          <reference field="18" count="1" selected="0">
            <x v="5"/>
          </reference>
        </references>
      </pivotArea>
    </chartFormat>
    <chartFormat chart="3" format="10" series="1">
      <pivotArea type="data" outline="0" fieldPosition="0">
        <references count="1">
          <reference field="4294967294" count="1" selected="0">
            <x v="0"/>
          </reference>
        </references>
      </pivotArea>
    </chartFormat>
    <chartFormat chart="7" format="2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56884F9-B161-42C0-8084-9227B667FBC6}" name="PivotTable3" cacheId="0" applyNumberFormats="0" applyBorderFormats="0" applyFontFormats="0" applyPatternFormats="0" applyAlignmentFormats="0" applyWidthHeightFormats="1" dataCaption="Values" updatedVersion="8" minRefreshableVersion="3" colGrandTotals="0" itemPrintTitles="1" createdVersion="8" indent="0" outline="1" outlineData="1" multipleFieldFilters="0" chartFormat="12">
  <location ref="M6:N16" firstHeaderRow="1" firstDataRow="1" firstDataCol="1" rowPageCount="1" colPageCount="1"/>
  <pivotFields count="22">
    <pivotField showAll="0"/>
    <pivotField numFmtId="14" showAll="0"/>
    <pivotField showAll="0"/>
    <pivotField showAll="0"/>
    <pivotField axis="axisPage" showAll="0">
      <items count="3">
        <item x="0"/>
        <item x="1"/>
        <item t="default"/>
      </items>
    </pivotField>
    <pivotField axis="axisRow" showAll="0">
      <items count="14">
        <item x="11"/>
        <item x="4"/>
        <item x="8"/>
        <item x="3"/>
        <item x="12"/>
        <item x="10"/>
        <item x="1"/>
        <item x="2"/>
        <item x="6"/>
        <item x="9"/>
        <item x="5"/>
        <item x="0"/>
        <item x="7"/>
        <item t="default"/>
      </items>
    </pivotField>
    <pivotField showAll="0"/>
    <pivotField showAll="0">
      <items count="7">
        <item x="2"/>
        <item x="1"/>
        <item x="5"/>
        <item x="0"/>
        <item x="4"/>
        <item x="3"/>
        <item t="default"/>
      </items>
    </pivotField>
    <pivotField showAll="0"/>
    <pivotField showAll="0"/>
    <pivotField dataField="1" numFmtId="165" showAll="0"/>
    <pivotField numFmtId="165" showAll="0"/>
    <pivotField numFmtId="165" showAll="0"/>
    <pivotField showAll="0"/>
    <pivotField showAll="0"/>
    <pivotField showAll="0"/>
    <pivotField showAll="0"/>
    <pivotField numFmtId="165" showAll="0"/>
    <pivotField showAll="0">
      <items count="8">
        <item x="0"/>
        <item x="1"/>
        <item x="2"/>
        <item x="3"/>
        <item x="4"/>
        <item x="5"/>
        <item x="6"/>
        <item t="default"/>
      </items>
    </pivotField>
    <pivotField showAll="0"/>
    <pivotField showAll="0"/>
    <pivotField showAll="0"/>
  </pivotFields>
  <rowFields count="1">
    <field x="5"/>
  </rowFields>
  <rowItems count="10">
    <i>
      <x v="1"/>
    </i>
    <i>
      <x v="2"/>
    </i>
    <i>
      <x v="3"/>
    </i>
    <i>
      <x v="5"/>
    </i>
    <i>
      <x v="6"/>
    </i>
    <i>
      <x v="8"/>
    </i>
    <i>
      <x v="9"/>
    </i>
    <i>
      <x v="11"/>
    </i>
    <i>
      <x v="12"/>
    </i>
    <i t="grand">
      <x/>
    </i>
  </rowItems>
  <colItems count="1">
    <i/>
  </colItems>
  <pageFields count="1">
    <pageField fld="4" item="0" hier="-1"/>
  </pageFields>
  <dataFields count="1">
    <dataField name="Sum of Amount" fld="10" baseField="0" baseItem="0" numFmtId="165"/>
  </dataFields>
  <chartFormats count="20">
    <chartFormat chart="9" format="11" series="1">
      <pivotArea type="data" outline="0" fieldPosition="0">
        <references count="1">
          <reference field="4294967294" count="1" selected="0">
            <x v="0"/>
          </reference>
        </references>
      </pivotArea>
    </chartFormat>
    <chartFormat chart="9" format="12">
      <pivotArea type="data" outline="0" fieldPosition="0">
        <references count="2">
          <reference field="4294967294" count="1" selected="0">
            <x v="0"/>
          </reference>
          <reference field="5" count="1" selected="0">
            <x v="1"/>
          </reference>
        </references>
      </pivotArea>
    </chartFormat>
    <chartFormat chart="9" format="13">
      <pivotArea type="data" outline="0" fieldPosition="0">
        <references count="2">
          <reference field="4294967294" count="1" selected="0">
            <x v="0"/>
          </reference>
          <reference field="5" count="1" selected="0">
            <x v="2"/>
          </reference>
        </references>
      </pivotArea>
    </chartFormat>
    <chartFormat chart="9" format="14">
      <pivotArea type="data" outline="0" fieldPosition="0">
        <references count="2">
          <reference field="4294967294" count="1" selected="0">
            <x v="0"/>
          </reference>
          <reference field="5" count="1" selected="0">
            <x v="3"/>
          </reference>
        </references>
      </pivotArea>
    </chartFormat>
    <chartFormat chart="9" format="15">
      <pivotArea type="data" outline="0" fieldPosition="0">
        <references count="2">
          <reference field="4294967294" count="1" selected="0">
            <x v="0"/>
          </reference>
          <reference field="5" count="1" selected="0">
            <x v="5"/>
          </reference>
        </references>
      </pivotArea>
    </chartFormat>
    <chartFormat chart="9" format="16">
      <pivotArea type="data" outline="0" fieldPosition="0">
        <references count="2">
          <reference field="4294967294" count="1" selected="0">
            <x v="0"/>
          </reference>
          <reference field="5" count="1" selected="0">
            <x v="6"/>
          </reference>
        </references>
      </pivotArea>
    </chartFormat>
    <chartFormat chart="9" format="17">
      <pivotArea type="data" outline="0" fieldPosition="0">
        <references count="2">
          <reference field="4294967294" count="1" selected="0">
            <x v="0"/>
          </reference>
          <reference field="5" count="1" selected="0">
            <x v="8"/>
          </reference>
        </references>
      </pivotArea>
    </chartFormat>
    <chartFormat chart="9" format="18">
      <pivotArea type="data" outline="0" fieldPosition="0">
        <references count="2">
          <reference field="4294967294" count="1" selected="0">
            <x v="0"/>
          </reference>
          <reference field="5" count="1" selected="0">
            <x v="9"/>
          </reference>
        </references>
      </pivotArea>
    </chartFormat>
    <chartFormat chart="9" format="19">
      <pivotArea type="data" outline="0" fieldPosition="0">
        <references count="2">
          <reference field="4294967294" count="1" selected="0">
            <x v="0"/>
          </reference>
          <reference field="5" count="1" selected="0">
            <x v="11"/>
          </reference>
        </references>
      </pivotArea>
    </chartFormat>
    <chartFormat chart="9" format="20">
      <pivotArea type="data" outline="0" fieldPosition="0">
        <references count="2">
          <reference field="4294967294" count="1" selected="0">
            <x v="0"/>
          </reference>
          <reference field="5" count="1" selected="0">
            <x v="12"/>
          </reference>
        </references>
      </pivotArea>
    </chartFormat>
    <chartFormat chart="11" format="31" series="1">
      <pivotArea type="data" outline="0" fieldPosition="0">
        <references count="1">
          <reference field="4294967294" count="1" selected="0">
            <x v="0"/>
          </reference>
        </references>
      </pivotArea>
    </chartFormat>
    <chartFormat chart="11" format="32">
      <pivotArea type="data" outline="0" fieldPosition="0">
        <references count="2">
          <reference field="4294967294" count="1" selected="0">
            <x v="0"/>
          </reference>
          <reference field="5" count="1" selected="0">
            <x v="1"/>
          </reference>
        </references>
      </pivotArea>
    </chartFormat>
    <chartFormat chart="11" format="33">
      <pivotArea type="data" outline="0" fieldPosition="0">
        <references count="2">
          <reference field="4294967294" count="1" selected="0">
            <x v="0"/>
          </reference>
          <reference field="5" count="1" selected="0">
            <x v="2"/>
          </reference>
        </references>
      </pivotArea>
    </chartFormat>
    <chartFormat chart="11" format="34">
      <pivotArea type="data" outline="0" fieldPosition="0">
        <references count="2">
          <reference field="4294967294" count="1" selected="0">
            <x v="0"/>
          </reference>
          <reference field="5" count="1" selected="0">
            <x v="3"/>
          </reference>
        </references>
      </pivotArea>
    </chartFormat>
    <chartFormat chart="11" format="35">
      <pivotArea type="data" outline="0" fieldPosition="0">
        <references count="2">
          <reference field="4294967294" count="1" selected="0">
            <x v="0"/>
          </reference>
          <reference field="5" count="1" selected="0">
            <x v="5"/>
          </reference>
        </references>
      </pivotArea>
    </chartFormat>
    <chartFormat chart="11" format="36">
      <pivotArea type="data" outline="0" fieldPosition="0">
        <references count="2">
          <reference field="4294967294" count="1" selected="0">
            <x v="0"/>
          </reference>
          <reference field="5" count="1" selected="0">
            <x v="6"/>
          </reference>
        </references>
      </pivotArea>
    </chartFormat>
    <chartFormat chart="11" format="37">
      <pivotArea type="data" outline="0" fieldPosition="0">
        <references count="2">
          <reference field="4294967294" count="1" selected="0">
            <x v="0"/>
          </reference>
          <reference field="5" count="1" selected="0">
            <x v="8"/>
          </reference>
        </references>
      </pivotArea>
    </chartFormat>
    <chartFormat chart="11" format="38">
      <pivotArea type="data" outline="0" fieldPosition="0">
        <references count="2">
          <reference field="4294967294" count="1" selected="0">
            <x v="0"/>
          </reference>
          <reference field="5" count="1" selected="0">
            <x v="9"/>
          </reference>
        </references>
      </pivotArea>
    </chartFormat>
    <chartFormat chart="11" format="39">
      <pivotArea type="data" outline="0" fieldPosition="0">
        <references count="2">
          <reference field="4294967294" count="1" selected="0">
            <x v="0"/>
          </reference>
          <reference field="5" count="1" selected="0">
            <x v="11"/>
          </reference>
        </references>
      </pivotArea>
    </chartFormat>
    <chartFormat chart="11" format="40">
      <pivotArea type="data" outline="0" fieldPosition="0">
        <references count="2">
          <reference field="4294967294" count="1" selected="0">
            <x v="0"/>
          </reference>
          <reference field="5" count="1" selected="0">
            <x v="1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1DC6AF7-AC31-42DA-B1ED-F9D4D807FCA3}" name="PivotTable8" cacheId="0" applyNumberFormats="0" applyBorderFormats="0" applyFontFormats="0" applyPatternFormats="0" applyAlignmentFormats="0" applyWidthHeightFormats="1" dataCaption="Values" updatedVersion="8" minRefreshableVersion="3" colGrandTotals="0" itemPrintTitles="1" createdVersion="8" indent="0" outline="1" outlineData="1" multipleFieldFilters="0" chartFormat="24">
  <location ref="W6:Y13" firstHeaderRow="0" firstDataRow="1" firstDataCol="1" rowPageCount="1" colPageCount="1"/>
  <pivotFields count="22">
    <pivotField showAll="0"/>
    <pivotField numFmtId="14" showAll="0"/>
    <pivotField showAll="0"/>
    <pivotField showAll="0"/>
    <pivotField axis="axisPage" showAll="0">
      <items count="3">
        <item x="0"/>
        <item x="1"/>
        <item t="default"/>
      </items>
    </pivotField>
    <pivotField axis="axisRow" showAll="0" measureFilter="1">
      <items count="14">
        <item x="11"/>
        <item x="4"/>
        <item x="8"/>
        <item x="3"/>
        <item x="12"/>
        <item x="10"/>
        <item x="1"/>
        <item x="2"/>
        <item x="6"/>
        <item x="9"/>
        <item x="5"/>
        <item x="0"/>
        <item x="7"/>
        <item t="default"/>
      </items>
    </pivotField>
    <pivotField showAll="0"/>
    <pivotField showAll="0">
      <items count="7">
        <item x="2"/>
        <item x="1"/>
        <item x="5"/>
        <item x="0"/>
        <item x="4"/>
        <item x="3"/>
        <item t="default"/>
      </items>
    </pivotField>
    <pivotField showAll="0"/>
    <pivotField showAll="0"/>
    <pivotField dataField="1" numFmtId="165" showAll="0"/>
    <pivotField dataField="1" numFmtId="165" showAll="0"/>
    <pivotField numFmtId="165" showAll="0"/>
    <pivotField showAll="0"/>
    <pivotField showAll="0"/>
    <pivotField showAll="0"/>
    <pivotField showAll="0"/>
    <pivotField numFmtId="165" showAll="0"/>
    <pivotField showAll="0">
      <items count="8">
        <item x="0"/>
        <item x="1"/>
        <item x="2"/>
        <item x="3"/>
        <item x="4"/>
        <item x="5"/>
        <item x="6"/>
        <item t="default"/>
      </items>
    </pivotField>
    <pivotField showAll="0"/>
    <pivotField showAll="0"/>
    <pivotField showAll="0"/>
  </pivotFields>
  <rowFields count="1">
    <field x="5"/>
  </rowFields>
  <rowItems count="7">
    <i>
      <x v="1"/>
    </i>
    <i>
      <x v="3"/>
    </i>
    <i>
      <x v="6"/>
    </i>
    <i>
      <x v="8"/>
    </i>
    <i>
      <x v="9"/>
    </i>
    <i>
      <x v="11"/>
    </i>
    <i t="grand">
      <x/>
    </i>
  </rowItems>
  <colFields count="1">
    <field x="-2"/>
  </colFields>
  <colItems count="2">
    <i>
      <x/>
    </i>
    <i i="1">
      <x v="1"/>
    </i>
  </colItems>
  <pageFields count="1">
    <pageField fld="4" item="0" hier="-1"/>
  </pageFields>
  <dataFields count="2">
    <dataField name="Sum of Amount  Spent " fld="10" baseField="0" baseItem="0" numFmtId="165"/>
    <dataField name="Sum of Budget Allocated" fld="11" baseField="0" baseItem="0" numFmtId="165"/>
  </dataFields>
  <chartFormats count="10">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3" format="6">
      <pivotArea type="data" outline="0" fieldPosition="0">
        <references count="2">
          <reference field="4294967294" count="1" selected="0">
            <x v="1"/>
          </reference>
          <reference field="5" count="1" selected="0">
            <x v="9"/>
          </reference>
        </references>
      </pivotArea>
    </chartFormat>
    <chartFormat chart="23" format="7">
      <pivotArea type="data" outline="0" fieldPosition="0">
        <references count="2">
          <reference field="4294967294" count="1" selected="0">
            <x v="0"/>
          </reference>
          <reference field="5" count="1" selected="0">
            <x v="9"/>
          </reference>
        </references>
      </pivotArea>
    </chartFormat>
    <chartFormat chart="23" format="8">
      <pivotArea type="data" outline="0" fieldPosition="0">
        <references count="2">
          <reference field="4294967294" count="1" selected="0">
            <x v="1"/>
          </reference>
          <reference field="5" count="1" selected="0">
            <x v="3"/>
          </reference>
        </references>
      </pivotArea>
    </chartFormat>
    <chartFormat chart="23" format="9">
      <pivotArea type="data" outline="0" fieldPosition="0">
        <references count="2">
          <reference field="4294967294" count="1" selected="0">
            <x v="0"/>
          </reference>
          <reference field="5" count="1" selected="0">
            <x v="3"/>
          </reference>
        </references>
      </pivotArea>
    </chartFormat>
    <chartFormat chart="23" format="10">
      <pivotArea type="data" outline="0" fieldPosition="0">
        <references count="2">
          <reference field="4294967294" count="1" selected="0">
            <x v="0"/>
          </reference>
          <reference field="5" count="1" selected="0">
            <x v="12"/>
          </reference>
        </references>
      </pivotArea>
    </chartFormat>
    <chartFormat chart="23" format="11">
      <pivotArea type="data" outline="0" fieldPosition="0">
        <references count="2">
          <reference field="4294967294" count="1" selected="0">
            <x v="1"/>
          </reference>
          <reference field="5" count="1" selected="0">
            <x v="11"/>
          </reference>
        </references>
      </pivotArea>
    </chartFormat>
    <chartFormat chart="23" format="12">
      <pivotArea type="data" outline="0" fieldPosition="0">
        <references count="2">
          <reference field="4294967294" count="1" selected="0">
            <x v="0"/>
          </reference>
          <reference field="5" count="1" selected="0">
            <x v="11"/>
          </reference>
        </references>
      </pivotArea>
    </chartFormat>
    <chartFormat chart="23" format="13">
      <pivotArea type="data" outline="0" fieldPosition="0">
        <references count="2">
          <reference field="4294967294" count="1" selected="0">
            <x v="1"/>
          </reference>
          <reference field="5" count="1" selected="0">
            <x v="8"/>
          </reference>
        </references>
      </pivotArea>
    </chartFormat>
  </chartFormats>
  <pivotTableStyleInfo name="PivotStyleLight16" showRowHeaders="1" showColHeaders="1" showRowStripes="0" showColStripes="0" showLastColumn="1"/>
  <filters count="1">
    <filter fld="5" type="count" evalOrder="-1" id="3" iMeasureFld="0">
      <autoFilter ref="A1">
        <filterColumn colId="0">
          <top10 val="6" filterVal="6"/>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EBAAD31-6067-40FA-8DD8-06EC8E378D5D}" name="PivotTable9" cacheId="0" applyNumberFormats="0" applyBorderFormats="0" applyFontFormats="0" applyPatternFormats="0" applyAlignmentFormats="0" applyWidthHeightFormats="1" dataCaption="Values" updatedVersion="8" minRefreshableVersion="3" colGrandTotals="0" itemPrintTitles="1" createdVersion="8" indent="0" outline="1" outlineData="1" multipleFieldFilters="0" chartFormat="24">
  <location ref="AB6:AC13" firstHeaderRow="1" firstDataRow="1" firstDataCol="1" rowPageCount="1" colPageCount="1"/>
  <pivotFields count="22">
    <pivotField showAll="0"/>
    <pivotField numFmtId="14" showAll="0"/>
    <pivotField showAll="0"/>
    <pivotField showAll="0"/>
    <pivotField axis="axisPage" showAll="0">
      <items count="3">
        <item x="0"/>
        <item x="1"/>
        <item t="default"/>
      </items>
    </pivotField>
    <pivotField showAll="0"/>
    <pivotField showAll="0"/>
    <pivotField axis="axisRow" showAll="0">
      <items count="7">
        <item x="2"/>
        <item x="1"/>
        <item x="5"/>
        <item x="0"/>
        <item x="4"/>
        <item x="3"/>
        <item t="default"/>
      </items>
    </pivotField>
    <pivotField showAll="0"/>
    <pivotField showAll="0"/>
    <pivotField dataField="1" numFmtId="165" showAll="0"/>
    <pivotField numFmtId="165" showAll="0"/>
    <pivotField numFmtId="165" showAll="0"/>
    <pivotField showAll="0"/>
    <pivotField showAll="0"/>
    <pivotField showAll="0"/>
    <pivotField showAll="0"/>
    <pivotField numFmtId="165" showAll="0"/>
    <pivotField showAll="0">
      <items count="8">
        <item x="0"/>
        <item x="1"/>
        <item x="2"/>
        <item x="3"/>
        <item x="4"/>
        <item x="5"/>
        <item x="6"/>
        <item t="default"/>
      </items>
    </pivotField>
    <pivotField showAll="0"/>
    <pivotField showAll="0"/>
    <pivotField showAll="0"/>
  </pivotFields>
  <rowFields count="1">
    <field x="7"/>
  </rowFields>
  <rowItems count="7">
    <i>
      <x/>
    </i>
    <i>
      <x v="1"/>
    </i>
    <i>
      <x v="2"/>
    </i>
    <i>
      <x v="3"/>
    </i>
    <i>
      <x v="4"/>
    </i>
    <i>
      <x v="5"/>
    </i>
    <i t="grand">
      <x/>
    </i>
  </rowItems>
  <colItems count="1">
    <i/>
  </colItems>
  <pageFields count="1">
    <pageField fld="4" item="0" hier="-1"/>
  </pageFields>
  <dataFields count="1">
    <dataField name="Sum of Amount" fld="10" baseField="0" baseItem="0" numFmtId="165"/>
  </dataFields>
  <chartFormats count="8">
    <chartFormat chart="19" format="8" series="1">
      <pivotArea type="data" outline="0" fieldPosition="0">
        <references count="1">
          <reference field="4294967294" count="1" selected="0">
            <x v="0"/>
          </reference>
        </references>
      </pivotArea>
    </chartFormat>
    <chartFormat chart="19" format="9">
      <pivotArea type="data" outline="0" fieldPosition="0">
        <references count="2">
          <reference field="4294967294" count="1" selected="0">
            <x v="0"/>
          </reference>
          <reference field="7" count="1" selected="0">
            <x v="0"/>
          </reference>
        </references>
      </pivotArea>
    </chartFormat>
    <chartFormat chart="19" format="10">
      <pivotArea type="data" outline="0" fieldPosition="0">
        <references count="2">
          <reference field="4294967294" count="1" selected="0">
            <x v="0"/>
          </reference>
          <reference field="7" count="1" selected="0">
            <x v="1"/>
          </reference>
        </references>
      </pivotArea>
    </chartFormat>
    <chartFormat chart="19" format="11">
      <pivotArea type="data" outline="0" fieldPosition="0">
        <references count="2">
          <reference field="4294967294" count="1" selected="0">
            <x v="0"/>
          </reference>
          <reference field="7" count="1" selected="0">
            <x v="2"/>
          </reference>
        </references>
      </pivotArea>
    </chartFormat>
    <chartFormat chart="19" format="12">
      <pivotArea type="data" outline="0" fieldPosition="0">
        <references count="2">
          <reference field="4294967294" count="1" selected="0">
            <x v="0"/>
          </reference>
          <reference field="7" count="1" selected="0">
            <x v="3"/>
          </reference>
        </references>
      </pivotArea>
    </chartFormat>
    <chartFormat chart="19" format="13">
      <pivotArea type="data" outline="0" fieldPosition="0">
        <references count="2">
          <reference field="4294967294" count="1" selected="0">
            <x v="0"/>
          </reference>
          <reference field="7" count="1" selected="0">
            <x v="4"/>
          </reference>
        </references>
      </pivotArea>
    </chartFormat>
    <chartFormat chart="19" format="14">
      <pivotArea type="data" outline="0" fieldPosition="0">
        <references count="2">
          <reference field="4294967294" count="1" selected="0">
            <x v="0"/>
          </reference>
          <reference field="7" count="1" selected="0">
            <x v="5"/>
          </reference>
        </references>
      </pivotArea>
    </chartFormat>
    <chartFormat chart="2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71BE42D-3BE2-4A53-9281-AD7F2B78CA84}" name="PivotTable7" cacheId="0" applyNumberFormats="0" applyBorderFormats="0" applyFontFormats="0" applyPatternFormats="0" applyAlignmentFormats="0" applyWidthHeightFormats="1" dataCaption="Values" updatedVersion="8" minRefreshableVersion="3" colGrandTotals="0" itemPrintTitles="1" createdVersion="8" indent="0" outline="1" outlineData="1" multipleFieldFilters="0" chartFormat="22">
  <location ref="S6:T13" firstHeaderRow="1" firstDataRow="1" firstDataCol="1"/>
  <pivotFields count="22">
    <pivotField showAll="0"/>
    <pivotField numFmtId="14" showAll="0"/>
    <pivotField showAll="0"/>
    <pivotField showAll="0"/>
    <pivotField showAll="0"/>
    <pivotField showAll="0"/>
    <pivotField showAll="0"/>
    <pivotField axis="axisRow" showAll="0">
      <items count="7">
        <item x="2"/>
        <item x="1"/>
        <item x="5"/>
        <item x="0"/>
        <item x="4"/>
        <item x="3"/>
        <item t="default"/>
      </items>
    </pivotField>
    <pivotField showAll="0"/>
    <pivotField showAll="0"/>
    <pivotField dataField="1" numFmtId="165" showAll="0"/>
    <pivotField numFmtId="165" showAll="0"/>
    <pivotField numFmtId="165" showAll="0"/>
    <pivotField showAll="0"/>
    <pivotField showAll="0"/>
    <pivotField showAll="0"/>
    <pivotField showAll="0"/>
    <pivotField numFmtId="165" showAll="0"/>
    <pivotField showAll="0">
      <items count="8">
        <item x="0"/>
        <item x="1"/>
        <item x="2"/>
        <item x="3"/>
        <item x="4"/>
        <item x="5"/>
        <item x="6"/>
        <item t="default"/>
      </items>
    </pivotField>
    <pivotField showAll="0"/>
    <pivotField showAll="0"/>
    <pivotField showAll="0"/>
  </pivotFields>
  <rowFields count="1">
    <field x="7"/>
  </rowFields>
  <rowItems count="7">
    <i>
      <x/>
    </i>
    <i>
      <x v="1"/>
    </i>
    <i>
      <x v="2"/>
    </i>
    <i>
      <x v="3"/>
    </i>
    <i>
      <x v="4"/>
    </i>
    <i>
      <x v="5"/>
    </i>
    <i t="grand">
      <x/>
    </i>
  </rowItems>
  <colItems count="1">
    <i/>
  </colItems>
  <dataFields count="1">
    <dataField name="Sum of Amount" fld="10" baseField="0" baseItem="0" numFmtId="165"/>
  </dataFields>
  <chartFormats count="7">
    <chartFormat chart="19" format="8" series="1">
      <pivotArea type="data" outline="0" fieldPosition="0">
        <references count="1">
          <reference field="4294967294" count="1" selected="0">
            <x v="0"/>
          </reference>
        </references>
      </pivotArea>
    </chartFormat>
    <chartFormat chart="19" format="9">
      <pivotArea type="data" outline="0" fieldPosition="0">
        <references count="2">
          <reference field="4294967294" count="1" selected="0">
            <x v="0"/>
          </reference>
          <reference field="7" count="1" selected="0">
            <x v="0"/>
          </reference>
        </references>
      </pivotArea>
    </chartFormat>
    <chartFormat chart="19" format="10">
      <pivotArea type="data" outline="0" fieldPosition="0">
        <references count="2">
          <reference field="4294967294" count="1" selected="0">
            <x v="0"/>
          </reference>
          <reference field="7" count="1" selected="0">
            <x v="1"/>
          </reference>
        </references>
      </pivotArea>
    </chartFormat>
    <chartFormat chart="19" format="11">
      <pivotArea type="data" outline="0" fieldPosition="0">
        <references count="2">
          <reference field="4294967294" count="1" selected="0">
            <x v="0"/>
          </reference>
          <reference field="7" count="1" selected="0">
            <x v="2"/>
          </reference>
        </references>
      </pivotArea>
    </chartFormat>
    <chartFormat chart="19" format="12">
      <pivotArea type="data" outline="0" fieldPosition="0">
        <references count="2">
          <reference field="4294967294" count="1" selected="0">
            <x v="0"/>
          </reference>
          <reference field="7" count="1" selected="0">
            <x v="3"/>
          </reference>
        </references>
      </pivotArea>
    </chartFormat>
    <chartFormat chart="19" format="13">
      <pivotArea type="data" outline="0" fieldPosition="0">
        <references count="2">
          <reference field="4294967294" count="1" selected="0">
            <x v="0"/>
          </reference>
          <reference field="7" count="1" selected="0">
            <x v="4"/>
          </reference>
        </references>
      </pivotArea>
    </chartFormat>
    <chartFormat chart="19" format="14">
      <pivotArea type="data" outline="0" fieldPosition="0">
        <references count="2">
          <reference field="4294967294" count="1" selected="0">
            <x v="0"/>
          </reference>
          <reference field="7"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FE90F423-8D57-4543-B1C0-16761D6297E7}" name="PivotTable1" cacheId="0"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A4:D7" firstHeaderRow="0" firstDataRow="1" firstDataCol="1"/>
  <pivotFields count="22">
    <pivotField dataField="1" showAll="0"/>
    <pivotField numFmtId="14" showAll="0"/>
    <pivotField showAll="0"/>
    <pivotField showAll="0"/>
    <pivotField axis="axisRow" showAll="0">
      <items count="3">
        <item x="0"/>
        <item x="1"/>
        <item t="default"/>
      </items>
    </pivotField>
    <pivotField showAll="0"/>
    <pivotField showAll="0"/>
    <pivotField showAll="0">
      <items count="7">
        <item x="2"/>
        <item x="1"/>
        <item x="5"/>
        <item x="0"/>
        <item x="4"/>
        <item x="3"/>
        <item t="default"/>
      </items>
    </pivotField>
    <pivotField showAll="0"/>
    <pivotField showAll="0"/>
    <pivotField dataField="1" numFmtId="165" showAll="0"/>
    <pivotField dataField="1" numFmtId="165" showAll="0"/>
    <pivotField numFmtId="165" showAll="0"/>
    <pivotField showAll="0"/>
    <pivotField showAll="0"/>
    <pivotField showAll="0"/>
    <pivotField showAll="0"/>
    <pivotField numFmtId="165" showAll="0"/>
    <pivotField showAll="0">
      <items count="8">
        <item x="0"/>
        <item x="1"/>
        <item x="2"/>
        <item x="3"/>
        <item x="4"/>
        <item x="5"/>
        <item x="6"/>
        <item t="default"/>
      </items>
    </pivotField>
    <pivotField showAll="0"/>
    <pivotField showAll="0"/>
    <pivotField showAll="0"/>
  </pivotFields>
  <rowFields count="1">
    <field x="4"/>
  </rowFields>
  <rowItems count="3">
    <i>
      <x/>
    </i>
    <i>
      <x v="1"/>
    </i>
    <i t="grand">
      <x/>
    </i>
  </rowItems>
  <colFields count="1">
    <field x="-2"/>
  </colFields>
  <colItems count="3">
    <i>
      <x/>
    </i>
    <i i="1">
      <x v="1"/>
    </i>
    <i i="2">
      <x v="2"/>
    </i>
  </colItems>
  <dataFields count="3">
    <dataField name="Sum of Amount" fld="10" baseField="4" baseItem="0" numFmtId="166"/>
    <dataField name="Sum of Budget" fld="11" baseField="0" baseItem="0" numFmtId="165"/>
    <dataField name="Count of Transaction 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38EFDC54-5B8E-4790-B64C-EFADF3932498}" name="PivotTable5"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6">
  <location ref="K20:L25" firstHeaderRow="1" firstDataRow="1" firstDataCol="1"/>
  <pivotFields count="22">
    <pivotField dataField="1" showAll="0"/>
    <pivotField numFmtId="14" showAll="0"/>
    <pivotField showAll="0"/>
    <pivotField axis="axisRow" showAll="0">
      <items count="5">
        <item x="1"/>
        <item x="0"/>
        <item x="3"/>
        <item x="2"/>
        <item t="default"/>
      </items>
    </pivotField>
    <pivotField showAll="0"/>
    <pivotField showAll="0"/>
    <pivotField showAll="0"/>
    <pivotField showAll="0">
      <items count="7">
        <item x="2"/>
        <item x="1"/>
        <item x="5"/>
        <item x="0"/>
        <item x="4"/>
        <item x="3"/>
        <item t="default"/>
      </items>
    </pivotField>
    <pivotField showAll="0"/>
    <pivotField showAll="0"/>
    <pivotField numFmtId="165" showAll="0"/>
    <pivotField numFmtId="165" showAll="0"/>
    <pivotField numFmtId="165" showAll="0"/>
    <pivotField showAll="0"/>
    <pivotField showAll="0"/>
    <pivotField showAll="0"/>
    <pivotField showAll="0"/>
    <pivotField numFmtId="165" showAll="0"/>
    <pivotField showAll="0">
      <items count="8">
        <item x="0"/>
        <item x="1"/>
        <item x="2"/>
        <item x="3"/>
        <item x="4"/>
        <item x="5"/>
        <item x="6"/>
        <item t="default"/>
      </items>
    </pivotField>
    <pivotField showAll="0"/>
    <pivotField showAll="0"/>
    <pivotField showAll="0"/>
  </pivotFields>
  <rowFields count="1">
    <field x="3"/>
  </rowFields>
  <rowItems count="5">
    <i>
      <x/>
    </i>
    <i>
      <x v="1"/>
    </i>
    <i>
      <x v="2"/>
    </i>
    <i>
      <x v="3"/>
    </i>
    <i t="grand">
      <x/>
    </i>
  </rowItems>
  <colItems count="1">
    <i/>
  </colItems>
  <dataFields count="1">
    <dataField name="Count of Transaction 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C4F10853-4F97-49A1-BC8A-7F514191D9CF}" autoFormatId="16" applyNumberFormats="0" applyBorderFormats="0" applyFontFormats="0" applyPatternFormats="0" applyAlignmentFormats="0" applyWidthHeightFormats="0">
  <queryTableRefresh nextId="23" unboundColumnsRight="4">
    <queryTableFields count="22">
      <queryTableField id="1" name="Transaction ID" tableColumnId="1"/>
      <queryTableField id="2" name="Date" tableColumnId="2"/>
      <queryTableField id="3" name="Year" tableColumnId="3"/>
      <queryTableField id="4" name="Bank" tableColumnId="4"/>
      <queryTableField id="5" name="Transaction Type" tableColumnId="5"/>
      <queryTableField id="6" name="Category" tableColumnId="6"/>
      <queryTableField id="7" name="Sub Category" tableColumnId="7"/>
      <queryTableField id="8" name="Payment Method" tableColumnId="8"/>
      <queryTableField id="9" name="Merchant" tableColumnId="9"/>
      <queryTableField id="10" name="Description" tableColumnId="10"/>
      <queryTableField id="11" name="Amount" tableColumnId="11"/>
      <queryTableField id="12" name="Budget" tableColumnId="12"/>
      <queryTableField id="13" name="Savings" tableColumnId="13"/>
      <queryTableField id="14" name="Location" tableColumnId="14"/>
      <queryTableField id="15" name="Status" tableColumnId="15"/>
      <queryTableField id="16" name="Recurring" tableColumnId="16"/>
      <queryTableField id="17" name="Tax" tableColumnId="17"/>
      <queryTableField id="18" name="Balance" tableColumnId="18"/>
      <queryTableField id="19" dataBound="0" tableColumnId="19"/>
      <queryTableField id="20" dataBound="0" tableColumnId="20"/>
      <queryTableField id="21" dataBound="0" tableColumnId="21"/>
      <queryTableField id="22" dataBound="0" tableColumnId="2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815D7E26-8488-4EFC-BD21-44A87E9F521A}" sourceName="Month">
  <pivotTables>
    <pivotTable tabId="3" name="PivotTable1"/>
    <pivotTable tabId="3" name="PivotTable2"/>
    <pivotTable tabId="3" name="PivotTable3"/>
    <pivotTable tabId="3" name="PivotTable4"/>
    <pivotTable tabId="3" name="PivotTable5"/>
    <pivotTable tabId="3" name="PivotTable6"/>
    <pivotTable tabId="3" name="PivotTable7"/>
    <pivotTable tabId="3" name="PivotTable8"/>
    <pivotTable tabId="3" name="PivotTable9"/>
  </pivotTables>
  <data>
    <tabular pivotCacheId="167276532">
      <items count="7">
        <i x="0" s="1"/>
        <i x="1" s="1"/>
        <i x="2" s="1"/>
        <i x="3" s="1"/>
        <i x="4" s="1"/>
        <i x="5" s="1"/>
        <i x="6"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_Method" xr10:uid="{73E46862-F48F-46BB-A011-5513A7AB217D}" sourceName="Payment Method">
  <pivotTables>
    <pivotTable tabId="3" name="PivotTable7"/>
    <pivotTable tabId="3" name="PivotTable1"/>
    <pivotTable tabId="3" name="PivotTable2"/>
    <pivotTable tabId="3" name="PivotTable3"/>
    <pivotTable tabId="3" name="PivotTable4"/>
    <pivotTable tabId="3" name="PivotTable5"/>
    <pivotTable tabId="3" name="PivotTable6"/>
    <pivotTable tabId="3" name="PivotTable8"/>
    <pivotTable tabId="3" name="PivotTable9"/>
  </pivotTables>
  <data>
    <tabular pivotCacheId="167276532">
      <items count="6">
        <i x="2" s="1"/>
        <i x="1" s="1"/>
        <i x="5" s="1"/>
        <i x="0" s="1"/>
        <i x="4"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5C17989F-73E2-40AB-8EEE-8FCF66970450}" cache="Slicer_Month" caption="Month" style="SlicerStyleDark4" rowHeight="457200"/>
  <slicer name="Payment Method" xr10:uid="{5DD30256-4733-4B91-AECA-4D82753E7591}" cache="Slicer_Payment_Method" caption="Payment Method" startItem="1" style="SlicerStyleDark4" rowHeight="54864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8E6FF24-7F8D-46C0-95E1-C55AF7D61911}" name="personal_finance_dashboard_data_200_rows" displayName="personal_finance_dashboard_data_200_rows" ref="A1:V201" tableType="queryTable" totalsRowShown="0">
  <autoFilter ref="A1:V201" xr:uid="{D8E6FF24-7F8D-46C0-95E1-C55AF7D61911}"/>
  <sortState xmlns:xlrd2="http://schemas.microsoft.com/office/spreadsheetml/2017/richdata2" ref="A2:V201">
    <sortCondition ref="B1:B201"/>
  </sortState>
  <tableColumns count="22">
    <tableColumn id="1" xr3:uid="{2C6B8F54-0D06-49AB-8A50-F6E7AE085731}" uniqueName="1" name="Transaction ID" queryTableFieldId="1" dataDxfId="20"/>
    <tableColumn id="2" xr3:uid="{4CEE5B75-5355-45CE-8C8F-CA8F483BCE38}" uniqueName="2" name="Date" queryTableFieldId="2" dataDxfId="19"/>
    <tableColumn id="3" xr3:uid="{78B6720F-1E13-4A6A-B5F0-07E9F6DBDE48}" uniqueName="3" name="Year" queryTableFieldId="3"/>
    <tableColumn id="4" xr3:uid="{656CC83E-399D-424C-91C0-14C7632FEDC4}" uniqueName="4" name="Bank" queryTableFieldId="4" dataDxfId="18"/>
    <tableColumn id="5" xr3:uid="{634627C8-DEF3-42A2-B28E-AD2C8C995D8C}" uniqueName="5" name="Transaction Type" queryTableFieldId="5" dataDxfId="17"/>
    <tableColumn id="6" xr3:uid="{C558094E-034F-4B99-92BF-F942B8428EAF}" uniqueName="6" name="Category" queryTableFieldId="6" dataDxfId="16"/>
    <tableColumn id="7" xr3:uid="{2CEB3FE0-E1E9-4455-B6D1-89114764493F}" uniqueName="7" name="Sub Category" queryTableFieldId="7" dataDxfId="15"/>
    <tableColumn id="8" xr3:uid="{0F411A40-1139-4BCA-8FED-2D3EFC6968E0}" uniqueName="8" name="Payment Method" queryTableFieldId="8" dataDxfId="14"/>
    <tableColumn id="9" xr3:uid="{AD01717B-B96E-4A6A-93E1-AF1F2A04980A}" uniqueName="9" name="Merchant" queryTableFieldId="9" dataDxfId="13"/>
    <tableColumn id="10" xr3:uid="{98F58E1B-5099-4344-B2B1-E7D811500FAD}" uniqueName="10" name="Description" queryTableFieldId="10" dataDxfId="12"/>
    <tableColumn id="11" xr3:uid="{07FE6BEF-37A1-4775-A732-240C4674E897}" uniqueName="11" name="Amount" queryTableFieldId="11" dataDxfId="11"/>
    <tableColumn id="12" xr3:uid="{6CBD6FF8-6716-4287-AEDD-52D9412C4738}" uniqueName="12" name="Budget" queryTableFieldId="12" dataDxfId="10"/>
    <tableColumn id="13" xr3:uid="{5ED21E5C-178F-479B-A592-C8B38BCFA2EB}" uniqueName="13" name="Savings" queryTableFieldId="13" dataDxfId="9"/>
    <tableColumn id="14" xr3:uid="{768FE7E5-A63D-41D0-B678-DC556DA60E65}" uniqueName="14" name="Location" queryTableFieldId="14" dataDxfId="8"/>
    <tableColumn id="15" xr3:uid="{DB9CD41E-B0E4-4021-9B0A-8963BF8927DB}" uniqueName="15" name="Status" queryTableFieldId="15" dataDxfId="7"/>
    <tableColumn id="16" xr3:uid="{76D2F267-9013-4F1B-A66C-29B3E560A337}" uniqueName="16" name="Recurring" queryTableFieldId="16" dataDxfId="6"/>
    <tableColumn id="17" xr3:uid="{247D86F1-2D7C-444D-984B-21E581EC0D8D}" uniqueName="17" name="Tax" queryTableFieldId="17" dataDxfId="5"/>
    <tableColumn id="18" xr3:uid="{C581F58E-C254-449F-8795-B720C1DA644F}" uniqueName="18" name="Balance" queryTableFieldId="18" dataDxfId="4"/>
    <tableColumn id="19" xr3:uid="{EA85AC29-57E6-4F68-A0C6-410BFF62B42F}" uniqueName="19" name="Month" queryTableFieldId="19" dataDxfId="3">
      <calculatedColumnFormula>TEXT(personal_finance_dashboard_data_200_rows[[#This Row],[Date]],"mmm")</calculatedColumnFormula>
    </tableColumn>
    <tableColumn id="20" xr3:uid="{1327A06A-C2CF-4BBA-A53A-272AF89F5D85}" uniqueName="20" name="Month no" queryTableFieldId="20" dataDxfId="2">
      <calculatedColumnFormula>MONTH(personal_finance_dashboard_data_200_rows[[#This Row],[Date]])</calculatedColumnFormula>
    </tableColumn>
    <tableColumn id="21" xr3:uid="{9C286DB7-9279-4F15-B943-E0776510E382}" uniqueName="21" name="Quarter" queryTableFieldId="21" dataDxfId="1">
      <calculatedColumnFormula>"Q"&amp;ROUNDUP(MONTH(personal_finance_dashboard_data_200_rows[[#This Row],[Date]])/3,0)</calculatedColumnFormula>
    </tableColumn>
    <tableColumn id="22" xr3:uid="{00989400-DB6E-443A-9534-4CBF692EE4B5}" uniqueName="22" name="Savings Goal" queryTableFieldId="22"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90D05-624E-4F4D-AFA9-737343059DEB}">
  <sheetPr codeName="Sheet1"/>
  <dimension ref="A1:AH56"/>
  <sheetViews>
    <sheetView showGridLines="0" showRowColHeaders="0" zoomScale="70" zoomScaleNormal="70" workbookViewId="0"/>
  </sheetViews>
  <sheetFormatPr defaultRowHeight="14.4" x14ac:dyDescent="0.3"/>
  <sheetData>
    <row r="1" spans="1:34" x14ac:dyDescent="0.3">
      <c r="A1" s="11"/>
      <c r="B1" s="11"/>
      <c r="C1" s="11"/>
      <c r="D1" s="11"/>
      <c r="E1" s="11"/>
      <c r="F1" s="11"/>
      <c r="G1" s="11"/>
      <c r="H1" s="11"/>
      <c r="I1" s="11"/>
      <c r="J1" s="11"/>
      <c r="K1" s="11"/>
      <c r="L1" s="11"/>
      <c r="M1" s="11"/>
      <c r="N1" s="11"/>
      <c r="O1" s="11"/>
      <c r="P1" s="11"/>
      <c r="Q1" s="11"/>
      <c r="R1" s="11"/>
      <c r="S1" s="11"/>
      <c r="T1" s="11"/>
      <c r="U1" s="11"/>
      <c r="V1" s="11"/>
      <c r="W1" s="11"/>
      <c r="X1" s="11"/>
      <c r="Y1" s="11"/>
      <c r="Z1" s="11"/>
      <c r="AA1" s="11"/>
      <c r="AB1" s="11"/>
      <c r="AC1" s="11"/>
      <c r="AD1" s="11"/>
      <c r="AE1" s="11"/>
      <c r="AF1" s="11"/>
      <c r="AG1" s="11"/>
      <c r="AH1" s="11"/>
    </row>
    <row r="2" spans="1:34" x14ac:dyDescent="0.3">
      <c r="A2" s="11"/>
      <c r="B2" s="11"/>
      <c r="C2" s="11"/>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row>
    <row r="3" spans="1:34" x14ac:dyDescent="0.3">
      <c r="A3" s="11"/>
      <c r="B3" s="11"/>
      <c r="C3" s="11"/>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row>
    <row r="4" spans="1:34" x14ac:dyDescent="0.3">
      <c r="A4" s="11"/>
      <c r="B4" s="11"/>
      <c r="C4" s="11"/>
      <c r="D4" s="11"/>
      <c r="E4" s="11"/>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row>
    <row r="5" spans="1:34" x14ac:dyDescent="0.3">
      <c r="A5" s="11"/>
      <c r="B5" s="11"/>
      <c r="C5" s="11"/>
      <c r="D5" s="11"/>
      <c r="E5" s="11"/>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row>
    <row r="6" spans="1:34" x14ac:dyDescent="0.3">
      <c r="A6" s="11"/>
      <c r="B6" s="11"/>
      <c r="C6" s="11"/>
      <c r="D6" s="11"/>
      <c r="E6" s="11"/>
      <c r="F6" s="11"/>
      <c r="G6" s="11"/>
      <c r="H6" s="11"/>
      <c r="I6" s="11"/>
      <c r="J6" s="11"/>
      <c r="K6" s="11"/>
      <c r="L6" s="11"/>
      <c r="M6" s="11"/>
      <c r="N6" s="11"/>
      <c r="O6" s="11"/>
      <c r="P6" s="11"/>
      <c r="Q6" s="11"/>
      <c r="R6" s="11"/>
      <c r="S6" s="11"/>
      <c r="T6" s="11"/>
      <c r="U6" s="11"/>
      <c r="V6" s="11"/>
      <c r="W6" s="11"/>
      <c r="X6" s="11"/>
      <c r="Y6" s="11"/>
      <c r="Z6" s="11"/>
      <c r="AA6" s="11"/>
      <c r="AB6" s="11"/>
      <c r="AC6" s="11"/>
      <c r="AD6" s="11"/>
      <c r="AE6" s="11"/>
      <c r="AF6" s="11"/>
      <c r="AG6" s="11"/>
      <c r="AH6" s="11"/>
    </row>
    <row r="7" spans="1:34" x14ac:dyDescent="0.3">
      <c r="A7" s="11"/>
      <c r="B7" s="11"/>
      <c r="C7" s="11"/>
      <c r="D7" s="11"/>
      <c r="E7" s="11"/>
      <c r="F7" s="11"/>
      <c r="G7" s="11"/>
      <c r="H7" s="11"/>
      <c r="I7" s="11"/>
      <c r="J7" s="11"/>
      <c r="K7" s="11"/>
      <c r="L7" s="11"/>
      <c r="M7" s="11"/>
      <c r="N7" s="11"/>
      <c r="O7" s="11"/>
      <c r="P7" s="11"/>
      <c r="Q7" s="11"/>
      <c r="R7" s="11"/>
      <c r="S7" s="11"/>
      <c r="T7" s="11"/>
      <c r="U7" s="11"/>
      <c r="V7" s="11"/>
      <c r="W7" s="11"/>
      <c r="X7" s="11"/>
      <c r="Y7" s="11"/>
      <c r="Z7" s="11"/>
      <c r="AA7" s="11"/>
      <c r="AB7" s="11"/>
      <c r="AC7" s="11"/>
      <c r="AD7" s="11"/>
      <c r="AE7" s="11"/>
      <c r="AF7" s="11"/>
      <c r="AG7" s="11"/>
      <c r="AH7" s="11"/>
    </row>
    <row r="8" spans="1:34" x14ac:dyDescent="0.3">
      <c r="A8" s="11"/>
      <c r="B8" s="11"/>
      <c r="C8" s="11"/>
      <c r="D8" s="11"/>
      <c r="E8" s="11"/>
      <c r="F8" s="11"/>
      <c r="G8" s="11"/>
      <c r="H8" s="11"/>
      <c r="I8" s="11"/>
      <c r="J8" s="11"/>
      <c r="K8" s="11"/>
      <c r="L8" s="11"/>
      <c r="M8" s="11"/>
      <c r="N8" s="11"/>
      <c r="O8" s="11"/>
      <c r="P8" s="11"/>
      <c r="Q8" s="11"/>
      <c r="R8" s="11"/>
      <c r="S8" s="11"/>
      <c r="T8" s="11"/>
      <c r="U8" s="11"/>
      <c r="V8" s="11"/>
      <c r="W8" s="11"/>
      <c r="X8" s="11"/>
      <c r="Y8" s="11"/>
      <c r="Z8" s="11"/>
      <c r="AA8" s="11"/>
      <c r="AB8" s="11"/>
      <c r="AC8" s="11"/>
      <c r="AD8" s="11"/>
      <c r="AE8" s="11"/>
      <c r="AF8" s="11"/>
      <c r="AG8" s="11"/>
      <c r="AH8" s="11"/>
    </row>
    <row r="9" spans="1:34" x14ac:dyDescent="0.3">
      <c r="A9" s="11"/>
      <c r="B9" s="11"/>
      <c r="C9" s="11"/>
      <c r="D9" s="11"/>
      <c r="E9" s="11"/>
      <c r="F9" s="11"/>
      <c r="G9" s="11"/>
      <c r="H9" s="11"/>
      <c r="I9" s="11"/>
      <c r="J9" s="11"/>
      <c r="K9" s="11"/>
      <c r="L9" s="11"/>
      <c r="M9" s="11"/>
      <c r="N9" s="11"/>
      <c r="O9" s="11"/>
      <c r="P9" s="11"/>
      <c r="Q9" s="11"/>
      <c r="R9" s="11"/>
      <c r="S9" s="11"/>
      <c r="T9" s="11"/>
      <c r="U9" s="11"/>
      <c r="V9" s="11"/>
      <c r="W9" s="11"/>
      <c r="X9" s="11"/>
      <c r="Y9" s="11"/>
      <c r="Z9" s="11"/>
      <c r="AA9" s="11"/>
      <c r="AB9" s="11"/>
      <c r="AC9" s="11"/>
      <c r="AD9" s="11"/>
      <c r="AE9" s="11"/>
      <c r="AF9" s="11"/>
      <c r="AG9" s="11"/>
      <c r="AH9" s="11"/>
    </row>
    <row r="10" spans="1:34" x14ac:dyDescent="0.3">
      <c r="A10" s="11"/>
      <c r="B10" s="11"/>
      <c r="C10" s="11"/>
      <c r="D10" s="11"/>
      <c r="E10" s="11"/>
      <c r="F10" s="11"/>
      <c r="G10" s="11"/>
      <c r="H10" s="11"/>
      <c r="I10" s="11"/>
      <c r="J10" s="11"/>
      <c r="K10" s="11"/>
      <c r="L10" s="11"/>
      <c r="M10" s="11"/>
      <c r="N10" s="11"/>
      <c r="O10" s="11"/>
      <c r="P10" s="11"/>
      <c r="Q10" s="11"/>
      <c r="R10" s="11"/>
      <c r="S10" s="11"/>
      <c r="T10" s="11"/>
      <c r="U10" s="11"/>
      <c r="V10" s="11"/>
      <c r="W10" s="11"/>
      <c r="X10" s="11"/>
      <c r="Y10" s="11"/>
      <c r="Z10" s="11"/>
      <c r="AA10" s="11"/>
      <c r="AB10" s="11"/>
      <c r="AC10" s="11"/>
      <c r="AD10" s="11"/>
      <c r="AE10" s="11"/>
      <c r="AF10" s="11"/>
      <c r="AG10" s="11"/>
      <c r="AH10" s="11"/>
    </row>
    <row r="11" spans="1:34" x14ac:dyDescent="0.3">
      <c r="A11" s="11"/>
      <c r="B11" s="11"/>
      <c r="C11" s="11"/>
      <c r="D11" s="11"/>
      <c r="E11" s="11"/>
      <c r="F11" s="11"/>
      <c r="G11" s="11"/>
      <c r="H11" s="11"/>
      <c r="I11" s="11"/>
      <c r="J11" s="11"/>
      <c r="K11" s="11"/>
      <c r="L11" s="11"/>
      <c r="M11" s="11"/>
      <c r="N11" s="11"/>
      <c r="O11" s="11"/>
      <c r="P11" s="11"/>
      <c r="Q11" s="11"/>
      <c r="R11" s="11"/>
      <c r="S11" s="11"/>
      <c r="T11" s="11"/>
      <c r="U11" s="11"/>
      <c r="V11" s="11"/>
      <c r="W11" s="11"/>
      <c r="X11" s="11"/>
      <c r="Y11" s="11"/>
      <c r="Z11" s="11"/>
      <c r="AA11" s="11"/>
      <c r="AB11" s="11"/>
      <c r="AC11" s="11"/>
      <c r="AD11" s="11"/>
      <c r="AE11" s="11"/>
      <c r="AF11" s="11"/>
      <c r="AG11" s="11"/>
      <c r="AH11" s="11"/>
    </row>
    <row r="12" spans="1:34" x14ac:dyDescent="0.3">
      <c r="A12" s="11"/>
      <c r="B12" s="11"/>
      <c r="C12" s="11"/>
      <c r="D12" s="11"/>
      <c r="E12" s="11"/>
      <c r="F12" s="11"/>
      <c r="G12" s="11"/>
      <c r="H12" s="11"/>
      <c r="I12" s="11"/>
      <c r="J12" s="11"/>
      <c r="K12" s="11"/>
      <c r="L12" s="11"/>
      <c r="M12" s="11"/>
      <c r="N12" s="11"/>
      <c r="O12" s="11"/>
      <c r="P12" s="11"/>
      <c r="Q12" s="11"/>
      <c r="R12" s="11"/>
      <c r="S12" s="11"/>
      <c r="T12" s="11"/>
      <c r="U12" s="11"/>
      <c r="V12" s="11"/>
      <c r="W12" s="11"/>
      <c r="X12" s="11"/>
      <c r="Y12" s="11"/>
      <c r="Z12" s="11"/>
      <c r="AA12" s="11"/>
      <c r="AB12" s="11"/>
      <c r="AC12" s="11"/>
      <c r="AD12" s="11"/>
      <c r="AE12" s="11"/>
      <c r="AF12" s="11"/>
      <c r="AG12" s="11"/>
      <c r="AH12" s="11"/>
    </row>
    <row r="13" spans="1:34" x14ac:dyDescent="0.3">
      <c r="A13" s="11"/>
      <c r="B13" s="11"/>
      <c r="C13" s="11"/>
      <c r="D13" s="11"/>
      <c r="E13" s="11"/>
      <c r="F13" s="11"/>
      <c r="G13" s="11"/>
      <c r="H13" s="11"/>
      <c r="I13" s="11"/>
      <c r="J13" s="11"/>
      <c r="K13" s="11"/>
      <c r="L13" s="11"/>
      <c r="M13" s="11"/>
      <c r="N13" s="11"/>
      <c r="O13" s="11"/>
      <c r="P13" s="11"/>
      <c r="Q13" s="11"/>
      <c r="R13" s="11"/>
      <c r="S13" s="11"/>
      <c r="T13" s="11"/>
      <c r="U13" s="11"/>
      <c r="V13" s="11"/>
      <c r="W13" s="11"/>
      <c r="X13" s="11"/>
      <c r="Y13" s="11"/>
      <c r="Z13" s="11"/>
      <c r="AA13" s="11"/>
      <c r="AB13" s="11"/>
      <c r="AC13" s="11"/>
      <c r="AD13" s="11"/>
      <c r="AE13" s="11"/>
      <c r="AF13" s="11"/>
      <c r="AG13" s="11"/>
      <c r="AH13" s="11"/>
    </row>
    <row r="14" spans="1:34" x14ac:dyDescent="0.3">
      <c r="A14" s="11"/>
      <c r="B14" s="11"/>
      <c r="C14" s="11"/>
      <c r="D14" s="11"/>
      <c r="E14" s="11"/>
      <c r="F14" s="11"/>
      <c r="G14" s="11"/>
      <c r="H14" s="11"/>
      <c r="I14" s="11"/>
      <c r="J14" s="11"/>
      <c r="K14" s="11"/>
      <c r="L14" s="11"/>
      <c r="M14" s="11"/>
      <c r="N14" s="11"/>
      <c r="O14" s="11"/>
      <c r="P14" s="11"/>
      <c r="Q14" s="11"/>
      <c r="R14" s="11"/>
      <c r="S14" s="11"/>
      <c r="T14" s="11"/>
      <c r="U14" s="11"/>
      <c r="V14" s="11"/>
      <c r="W14" s="11"/>
      <c r="X14" s="11"/>
      <c r="Y14" s="11"/>
      <c r="Z14" s="11"/>
      <c r="AA14" s="11"/>
      <c r="AB14" s="11"/>
      <c r="AC14" s="11"/>
      <c r="AD14" s="11"/>
      <c r="AE14" s="11"/>
      <c r="AF14" s="11"/>
      <c r="AG14" s="11"/>
      <c r="AH14" s="11"/>
    </row>
    <row r="15" spans="1:34" x14ac:dyDescent="0.3">
      <c r="A15" s="11"/>
      <c r="B15" s="11"/>
      <c r="C15" s="11"/>
      <c r="D15" s="11"/>
      <c r="E15" s="11"/>
      <c r="F15" s="11"/>
      <c r="G15" s="11"/>
      <c r="H15" s="11"/>
      <c r="I15" s="11"/>
      <c r="J15" s="11"/>
      <c r="K15" s="11"/>
      <c r="L15" s="11"/>
      <c r="M15" s="11"/>
      <c r="N15" s="11"/>
      <c r="O15" s="11"/>
      <c r="P15" s="11"/>
      <c r="Q15" s="11"/>
      <c r="R15" s="11"/>
      <c r="S15" s="11"/>
      <c r="T15" s="11"/>
      <c r="U15" s="11"/>
      <c r="V15" s="11"/>
      <c r="W15" s="11"/>
      <c r="X15" s="11"/>
      <c r="Y15" s="11"/>
      <c r="Z15" s="11"/>
      <c r="AA15" s="11"/>
      <c r="AB15" s="11"/>
      <c r="AC15" s="11"/>
      <c r="AD15" s="11"/>
      <c r="AE15" s="11"/>
      <c r="AF15" s="11"/>
      <c r="AG15" s="11"/>
      <c r="AH15" s="11"/>
    </row>
    <row r="16" spans="1:34" x14ac:dyDescent="0.3">
      <c r="A16" s="11"/>
      <c r="B16" s="11"/>
      <c r="C16" s="11"/>
      <c r="D16" s="11"/>
      <c r="E16" s="11"/>
      <c r="F16" s="11"/>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row>
    <row r="17" spans="1:34" x14ac:dyDescent="0.3">
      <c r="A17" s="11"/>
      <c r="B17" s="11"/>
      <c r="C17" s="11"/>
      <c r="D17" s="11"/>
      <c r="E17" s="11"/>
      <c r="F17" s="11"/>
      <c r="G17" s="11"/>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row>
    <row r="18" spans="1:34" x14ac:dyDescent="0.3">
      <c r="A18" s="11"/>
      <c r="B18" s="11"/>
      <c r="C18" s="11"/>
      <c r="D18" s="11"/>
      <c r="E18" s="11"/>
      <c r="F18" s="11"/>
      <c r="G18" s="11"/>
      <c r="H18" s="11"/>
      <c r="I18" s="11"/>
      <c r="J18" s="11"/>
      <c r="K18" s="11"/>
      <c r="L18" s="11"/>
      <c r="M18" s="11"/>
      <c r="N18" s="11"/>
      <c r="O18" s="11"/>
      <c r="P18" s="11"/>
      <c r="Q18" s="11"/>
      <c r="R18" s="11"/>
      <c r="S18" s="11"/>
      <c r="T18" s="11"/>
      <c r="U18" s="11"/>
      <c r="V18" s="11"/>
      <c r="W18" s="11"/>
      <c r="X18" s="11"/>
      <c r="Y18" s="11"/>
      <c r="Z18" s="11"/>
      <c r="AA18" s="11"/>
      <c r="AB18" s="11"/>
      <c r="AC18" s="11"/>
      <c r="AD18" s="11"/>
      <c r="AE18" s="11"/>
      <c r="AF18" s="11"/>
      <c r="AG18" s="11"/>
      <c r="AH18" s="11"/>
    </row>
    <row r="19" spans="1:34" x14ac:dyDescent="0.3">
      <c r="A19" s="11"/>
      <c r="B19" s="11"/>
      <c r="C19" s="11"/>
      <c r="D19" s="11"/>
      <c r="E19" s="11"/>
      <c r="F19" s="11"/>
      <c r="G19" s="11"/>
      <c r="H19" s="11"/>
      <c r="I19" s="11"/>
      <c r="J19" s="11"/>
      <c r="K19" s="11"/>
      <c r="L19" s="11"/>
      <c r="M19" s="11"/>
      <c r="N19" s="11"/>
      <c r="O19" s="11"/>
      <c r="P19" s="11"/>
      <c r="Q19" s="11"/>
      <c r="R19" s="11"/>
      <c r="S19" s="11"/>
      <c r="T19" s="11"/>
      <c r="U19" s="11"/>
      <c r="V19" s="11"/>
      <c r="W19" s="11"/>
      <c r="X19" s="11"/>
      <c r="Y19" s="11"/>
      <c r="Z19" s="11"/>
      <c r="AA19" s="11"/>
      <c r="AB19" s="11"/>
      <c r="AC19" s="11"/>
      <c r="AD19" s="11"/>
      <c r="AE19" s="11"/>
      <c r="AF19" s="11"/>
      <c r="AG19" s="11"/>
      <c r="AH19" s="11"/>
    </row>
    <row r="20" spans="1:34" x14ac:dyDescent="0.3">
      <c r="A20" s="11"/>
      <c r="B20" s="11"/>
      <c r="C20" s="11"/>
      <c r="D20" s="11"/>
      <c r="E20" s="11"/>
      <c r="F20" s="11"/>
      <c r="G20" s="11"/>
      <c r="H20" s="11"/>
      <c r="I20" s="11"/>
      <c r="J20" s="11"/>
      <c r="K20" s="11"/>
      <c r="L20" s="11"/>
      <c r="M20" s="11"/>
      <c r="N20" s="11"/>
      <c r="O20" s="11"/>
      <c r="P20" s="11"/>
      <c r="Q20" s="11"/>
      <c r="R20" s="11"/>
      <c r="S20" s="11"/>
      <c r="T20" s="11"/>
      <c r="U20" s="11"/>
      <c r="V20" s="11"/>
      <c r="W20" s="11"/>
      <c r="X20" s="11"/>
      <c r="Y20" s="11"/>
      <c r="Z20" s="11"/>
      <c r="AA20" s="11"/>
      <c r="AB20" s="11"/>
      <c r="AC20" s="11"/>
      <c r="AD20" s="11"/>
      <c r="AE20" s="11"/>
      <c r="AF20" s="11"/>
      <c r="AG20" s="11"/>
      <c r="AH20" s="11"/>
    </row>
    <row r="21" spans="1:34" x14ac:dyDescent="0.3">
      <c r="A21" s="11"/>
      <c r="B21" s="11"/>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row>
    <row r="22" spans="1:34" x14ac:dyDescent="0.3">
      <c r="A22" s="11"/>
      <c r="B22" s="11"/>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row>
    <row r="23" spans="1:34" x14ac:dyDescent="0.3">
      <c r="A23" s="11"/>
      <c r="B23" s="11"/>
      <c r="C23" s="11"/>
      <c r="D23" s="11"/>
      <c r="E23" s="11"/>
      <c r="F23" s="11"/>
      <c r="G23" s="11"/>
      <c r="H23" s="11"/>
      <c r="I23" s="11"/>
      <c r="J23" s="11"/>
      <c r="K23" s="11"/>
      <c r="L23" s="11"/>
      <c r="M23" s="11"/>
      <c r="N23" s="11"/>
      <c r="O23" s="11"/>
      <c r="P23" s="11"/>
      <c r="Q23" s="11"/>
      <c r="R23" s="11"/>
      <c r="S23" s="11"/>
      <c r="T23" s="11"/>
      <c r="U23" s="11"/>
      <c r="V23" s="11"/>
      <c r="W23" s="11"/>
      <c r="X23" s="11"/>
      <c r="Y23" s="11"/>
      <c r="Z23" s="11"/>
      <c r="AA23" s="11"/>
      <c r="AB23" s="11"/>
      <c r="AC23" s="11"/>
      <c r="AD23" s="11"/>
      <c r="AE23" s="11"/>
      <c r="AF23" s="11"/>
      <c r="AG23" s="11"/>
      <c r="AH23" s="11"/>
    </row>
    <row r="24" spans="1:34" x14ac:dyDescent="0.3">
      <c r="A24" s="11"/>
      <c r="B24" s="11"/>
      <c r="C24" s="11"/>
      <c r="D24" s="11"/>
      <c r="E24" s="11"/>
      <c r="F24" s="11"/>
      <c r="G24" s="11"/>
      <c r="H24" s="11"/>
      <c r="I24" s="11"/>
      <c r="J24" s="11"/>
      <c r="K24" s="11"/>
      <c r="L24" s="11"/>
      <c r="M24" s="11"/>
      <c r="N24" s="11"/>
      <c r="O24" s="11"/>
      <c r="P24" s="11"/>
      <c r="Q24" s="11"/>
      <c r="R24" s="11"/>
      <c r="S24" s="11"/>
      <c r="T24" s="11"/>
      <c r="U24" s="11"/>
      <c r="V24" s="11"/>
      <c r="W24" s="11"/>
      <c r="X24" s="11"/>
      <c r="Y24" s="11"/>
      <c r="Z24" s="11"/>
      <c r="AA24" s="11"/>
      <c r="AB24" s="11"/>
      <c r="AC24" s="11"/>
      <c r="AD24" s="11"/>
      <c r="AE24" s="11"/>
      <c r="AF24" s="11"/>
      <c r="AG24" s="11"/>
      <c r="AH24" s="11"/>
    </row>
    <row r="25" spans="1:34" x14ac:dyDescent="0.3">
      <c r="A25" s="11"/>
      <c r="B25" s="11"/>
      <c r="C25" s="11"/>
      <c r="D25" s="11"/>
      <c r="E25" s="11"/>
      <c r="F25" s="11"/>
      <c r="G25" s="11"/>
      <c r="H25" s="11"/>
      <c r="I25" s="11"/>
      <c r="J25" s="11"/>
      <c r="K25" s="11"/>
      <c r="L25" s="11"/>
      <c r="M25" s="11"/>
      <c r="N25" s="11"/>
      <c r="O25" s="11"/>
      <c r="P25" s="11"/>
      <c r="Q25" s="11"/>
      <c r="R25" s="11"/>
      <c r="S25" s="11"/>
      <c r="T25" s="11"/>
      <c r="U25" s="11"/>
      <c r="V25" s="11"/>
      <c r="W25" s="11"/>
      <c r="X25" s="11"/>
      <c r="Y25" s="11"/>
      <c r="Z25" s="11"/>
      <c r="AA25" s="11"/>
      <c r="AB25" s="11"/>
      <c r="AC25" s="11"/>
      <c r="AD25" s="11"/>
      <c r="AE25" s="11"/>
      <c r="AF25" s="11"/>
      <c r="AG25" s="11"/>
      <c r="AH25" s="11"/>
    </row>
    <row r="26" spans="1:34" x14ac:dyDescent="0.3">
      <c r="A26" s="11"/>
      <c r="B26" s="11"/>
      <c r="C26" s="11"/>
      <c r="D26" s="11"/>
      <c r="E26" s="11"/>
      <c r="F26" s="11"/>
      <c r="G26" s="11"/>
      <c r="H26" s="11"/>
      <c r="I26" s="11"/>
      <c r="J26" s="11"/>
      <c r="K26" s="11"/>
      <c r="L26" s="11"/>
      <c r="M26" s="11"/>
      <c r="N26" s="11"/>
      <c r="O26" s="11"/>
      <c r="P26" s="11"/>
      <c r="Q26" s="11"/>
      <c r="R26" s="11"/>
      <c r="S26" s="11"/>
      <c r="T26" s="11"/>
      <c r="U26" s="11"/>
      <c r="V26" s="11"/>
      <c r="W26" s="11"/>
      <c r="X26" s="11"/>
      <c r="Y26" s="11"/>
      <c r="Z26" s="11"/>
      <c r="AA26" s="11"/>
      <c r="AB26" s="11"/>
      <c r="AC26" s="11"/>
      <c r="AD26" s="11"/>
      <c r="AE26" s="11"/>
      <c r="AF26" s="11"/>
      <c r="AG26" s="11"/>
      <c r="AH26" s="11"/>
    </row>
    <row r="27" spans="1:34" x14ac:dyDescent="0.3">
      <c r="A27" s="11"/>
      <c r="B27" s="11"/>
      <c r="C27" s="11"/>
      <c r="D27" s="11"/>
      <c r="E27" s="11"/>
      <c r="F27" s="11"/>
      <c r="G27" s="11"/>
      <c r="H27" s="11"/>
      <c r="I27" s="11"/>
      <c r="J27" s="11"/>
      <c r="K27" s="11"/>
      <c r="L27" s="11"/>
      <c r="M27" s="11"/>
      <c r="N27" s="11"/>
      <c r="O27" s="11"/>
      <c r="P27" s="11"/>
      <c r="Q27" s="11"/>
      <c r="R27" s="11"/>
      <c r="S27" s="11"/>
      <c r="T27" s="11"/>
      <c r="U27" s="11"/>
      <c r="V27" s="11"/>
      <c r="W27" s="11"/>
      <c r="X27" s="11"/>
      <c r="Y27" s="11"/>
      <c r="Z27" s="11"/>
      <c r="AA27" s="11"/>
      <c r="AB27" s="11"/>
      <c r="AC27" s="11"/>
      <c r="AD27" s="11"/>
      <c r="AE27" s="11"/>
      <c r="AF27" s="11"/>
      <c r="AG27" s="11"/>
      <c r="AH27" s="11"/>
    </row>
    <row r="28" spans="1:34" x14ac:dyDescent="0.3">
      <c r="A28" s="11"/>
      <c r="B28" s="11"/>
      <c r="C28" s="11"/>
      <c r="D28" s="11"/>
      <c r="E28" s="11"/>
      <c r="F28" s="11"/>
      <c r="G28" s="11"/>
      <c r="H28" s="11"/>
      <c r="I28" s="11"/>
      <c r="J28" s="11"/>
      <c r="K28" s="11"/>
      <c r="L28" s="11"/>
      <c r="M28" s="11"/>
      <c r="N28" s="11"/>
      <c r="O28" s="11"/>
      <c r="P28" s="11"/>
      <c r="Q28" s="11"/>
      <c r="R28" s="11"/>
      <c r="S28" s="11"/>
      <c r="T28" s="11"/>
      <c r="U28" s="11"/>
      <c r="V28" s="11"/>
      <c r="W28" s="11"/>
      <c r="X28" s="11"/>
      <c r="Y28" s="11"/>
      <c r="Z28" s="11"/>
      <c r="AA28" s="11"/>
      <c r="AB28" s="11"/>
      <c r="AC28" s="11"/>
      <c r="AD28" s="11"/>
      <c r="AE28" s="11"/>
      <c r="AF28" s="11"/>
      <c r="AG28" s="11"/>
      <c r="AH28" s="11"/>
    </row>
    <row r="29" spans="1:34" x14ac:dyDescent="0.3">
      <c r="A29" s="11"/>
      <c r="B29" s="11"/>
      <c r="C29" s="11"/>
      <c r="D29" s="11"/>
      <c r="E29" s="11"/>
      <c r="F29" s="11"/>
      <c r="G29" s="11"/>
      <c r="H29" s="11"/>
      <c r="I29" s="11"/>
      <c r="J29" s="11"/>
      <c r="K29" s="11"/>
      <c r="L29" s="11"/>
      <c r="M29" s="11"/>
      <c r="N29" s="11"/>
      <c r="O29" s="11"/>
      <c r="P29" s="11"/>
      <c r="Q29" s="11"/>
      <c r="R29" s="11"/>
      <c r="S29" s="11"/>
      <c r="T29" s="11"/>
      <c r="U29" s="11"/>
      <c r="V29" s="11"/>
      <c r="W29" s="11"/>
      <c r="X29" s="11"/>
      <c r="Y29" s="11"/>
      <c r="Z29" s="11"/>
      <c r="AA29" s="11"/>
      <c r="AB29" s="11"/>
      <c r="AC29" s="11"/>
      <c r="AD29" s="11"/>
      <c r="AE29" s="11"/>
      <c r="AF29" s="11"/>
      <c r="AG29" s="11"/>
      <c r="AH29" s="11"/>
    </row>
    <row r="30" spans="1:34" x14ac:dyDescent="0.3">
      <c r="A30" s="11"/>
      <c r="B30" s="11"/>
      <c r="C30" s="11"/>
      <c r="D30" s="11"/>
      <c r="E30" s="11"/>
      <c r="F30" s="11"/>
      <c r="G30" s="11"/>
      <c r="H30" s="11"/>
      <c r="I30" s="11"/>
      <c r="J30" s="11"/>
      <c r="K30" s="11"/>
      <c r="L30" s="11"/>
      <c r="M30" s="11"/>
      <c r="N30" s="11"/>
      <c r="O30" s="11"/>
      <c r="P30" s="11"/>
      <c r="Q30" s="11"/>
      <c r="R30" s="11"/>
      <c r="S30" s="11"/>
      <c r="T30" s="11"/>
      <c r="U30" s="11"/>
      <c r="V30" s="11"/>
      <c r="W30" s="11"/>
      <c r="X30" s="11"/>
      <c r="Y30" s="11"/>
      <c r="Z30" s="11"/>
      <c r="AA30" s="11"/>
      <c r="AB30" s="11"/>
      <c r="AC30" s="11"/>
      <c r="AD30" s="11"/>
      <c r="AE30" s="11"/>
      <c r="AF30" s="11"/>
      <c r="AG30" s="11"/>
      <c r="AH30" s="11"/>
    </row>
    <row r="31" spans="1:34" x14ac:dyDescent="0.3">
      <c r="A31" s="11"/>
      <c r="B31" s="11"/>
      <c r="C31" s="11"/>
      <c r="D31" s="11"/>
      <c r="E31" s="11"/>
      <c r="F31" s="11"/>
      <c r="G31" s="11"/>
      <c r="H31" s="11"/>
      <c r="I31" s="11"/>
      <c r="J31" s="11"/>
      <c r="K31" s="11"/>
      <c r="L31" s="11"/>
      <c r="M31" s="11"/>
      <c r="N31" s="11"/>
      <c r="O31" s="11"/>
      <c r="P31" s="11"/>
      <c r="Q31" s="11"/>
      <c r="R31" s="11"/>
      <c r="S31" s="11"/>
      <c r="T31" s="11"/>
      <c r="U31" s="11"/>
      <c r="V31" s="11"/>
      <c r="W31" s="11"/>
      <c r="X31" s="11"/>
      <c r="Y31" s="11"/>
      <c r="Z31" s="11"/>
      <c r="AA31" s="11"/>
      <c r="AB31" s="11"/>
      <c r="AC31" s="11"/>
      <c r="AD31" s="11"/>
      <c r="AE31" s="11"/>
      <c r="AF31" s="11"/>
      <c r="AG31" s="11"/>
      <c r="AH31" s="11"/>
    </row>
    <row r="32" spans="1:34" x14ac:dyDescent="0.3">
      <c r="A32" s="11"/>
      <c r="B32" s="11"/>
      <c r="C32" s="11"/>
      <c r="D32" s="11"/>
      <c r="E32" s="11"/>
      <c r="F32" s="11"/>
      <c r="G32" s="11"/>
      <c r="H32" s="11"/>
      <c r="I32" s="11"/>
      <c r="J32" s="11"/>
      <c r="K32" s="11"/>
      <c r="L32" s="11"/>
      <c r="M32" s="11"/>
      <c r="N32" s="11"/>
      <c r="O32" s="11"/>
      <c r="P32" s="11"/>
      <c r="Q32" s="11"/>
      <c r="R32" s="11"/>
      <c r="S32" s="11"/>
      <c r="T32" s="11"/>
      <c r="U32" s="11"/>
      <c r="V32" s="11"/>
      <c r="W32" s="11"/>
      <c r="X32" s="11"/>
      <c r="Y32" s="11"/>
      <c r="Z32" s="11"/>
      <c r="AA32" s="11"/>
      <c r="AB32" s="11"/>
      <c r="AC32" s="11"/>
      <c r="AD32" s="11"/>
      <c r="AE32" s="11"/>
      <c r="AF32" s="11"/>
      <c r="AG32" s="11"/>
      <c r="AH32" s="11"/>
    </row>
    <row r="33" spans="1:34" x14ac:dyDescent="0.3">
      <c r="A33" s="11"/>
      <c r="B33" s="11"/>
      <c r="C33" s="11"/>
      <c r="D33" s="11"/>
      <c r="E33" s="11"/>
      <c r="F33" s="11"/>
      <c r="G33" s="11"/>
      <c r="H33" s="11"/>
      <c r="I33" s="11"/>
      <c r="J33" s="11"/>
      <c r="K33" s="11"/>
      <c r="L33" s="11"/>
      <c r="M33" s="11"/>
      <c r="N33" s="11"/>
      <c r="O33" s="11"/>
      <c r="P33" s="11"/>
      <c r="Q33" s="11"/>
      <c r="R33" s="11"/>
      <c r="S33" s="11"/>
      <c r="T33" s="11"/>
      <c r="U33" s="11"/>
      <c r="V33" s="11"/>
      <c r="W33" s="11"/>
      <c r="X33" s="11"/>
      <c r="Y33" s="11"/>
      <c r="Z33" s="11"/>
      <c r="AA33" s="11"/>
      <c r="AB33" s="11"/>
      <c r="AC33" s="11"/>
      <c r="AD33" s="11"/>
      <c r="AE33" s="11"/>
      <c r="AF33" s="11"/>
      <c r="AG33" s="11"/>
      <c r="AH33" s="11"/>
    </row>
    <row r="34" spans="1:34" x14ac:dyDescent="0.3">
      <c r="A34" s="11"/>
      <c r="B34" s="11"/>
      <c r="C34" s="11"/>
      <c r="D34" s="11"/>
      <c r="E34" s="11"/>
      <c r="F34" s="11"/>
      <c r="G34" s="11"/>
      <c r="H34" s="11"/>
      <c r="I34" s="11"/>
      <c r="J34" s="11"/>
      <c r="K34" s="11"/>
      <c r="L34" s="11"/>
      <c r="M34" s="11"/>
      <c r="N34" s="11"/>
      <c r="O34" s="11"/>
      <c r="P34" s="11"/>
      <c r="Q34" s="11"/>
      <c r="R34" s="11"/>
      <c r="S34" s="11"/>
      <c r="T34" s="11"/>
      <c r="U34" s="11"/>
      <c r="V34" s="11"/>
      <c r="W34" s="11"/>
      <c r="X34" s="11"/>
      <c r="Y34" s="11"/>
      <c r="Z34" s="11"/>
      <c r="AA34" s="11"/>
      <c r="AB34" s="11"/>
      <c r="AC34" s="11"/>
      <c r="AD34" s="11"/>
      <c r="AE34" s="11"/>
      <c r="AF34" s="11"/>
      <c r="AG34" s="11"/>
      <c r="AH34" s="11"/>
    </row>
    <row r="35" spans="1:34" x14ac:dyDescent="0.3">
      <c r="A35" s="11"/>
      <c r="B35" s="11"/>
      <c r="C35" s="11"/>
      <c r="D35" s="11"/>
      <c r="E35" s="11"/>
      <c r="F35" s="11"/>
      <c r="G35" s="11"/>
      <c r="H35" s="11"/>
      <c r="I35" s="11"/>
      <c r="J35" s="11"/>
      <c r="K35" s="11"/>
      <c r="L35" s="11"/>
      <c r="M35" s="11"/>
      <c r="N35" s="11"/>
      <c r="O35" s="11"/>
      <c r="P35" s="11"/>
      <c r="Q35" s="11"/>
      <c r="R35" s="11"/>
      <c r="S35" s="11"/>
      <c r="T35" s="11"/>
      <c r="U35" s="11"/>
      <c r="V35" s="11"/>
      <c r="W35" s="11"/>
      <c r="X35" s="11"/>
      <c r="Y35" s="11"/>
      <c r="Z35" s="11"/>
      <c r="AA35" s="11"/>
      <c r="AB35" s="11"/>
      <c r="AC35" s="11"/>
      <c r="AD35" s="11"/>
      <c r="AE35" s="11"/>
      <c r="AF35" s="11"/>
      <c r="AG35" s="11"/>
      <c r="AH35" s="11"/>
    </row>
    <row r="36" spans="1:34" x14ac:dyDescent="0.3">
      <c r="A36" s="11"/>
      <c r="B36" s="11"/>
      <c r="C36" s="11"/>
      <c r="D36" s="11"/>
      <c r="E36" s="11"/>
      <c r="F36" s="11"/>
      <c r="G36" s="11"/>
      <c r="H36" s="11"/>
      <c r="I36" s="11"/>
      <c r="J36" s="11"/>
      <c r="K36" s="11"/>
      <c r="L36" s="11"/>
      <c r="M36" s="11"/>
      <c r="N36" s="11"/>
      <c r="O36" s="11"/>
      <c r="P36" s="11"/>
      <c r="Q36" s="11"/>
      <c r="R36" s="11"/>
      <c r="S36" s="11"/>
      <c r="T36" s="11"/>
      <c r="U36" s="11"/>
      <c r="V36" s="11"/>
      <c r="W36" s="11"/>
      <c r="X36" s="11"/>
      <c r="Y36" s="11"/>
      <c r="Z36" s="11"/>
      <c r="AA36" s="11"/>
      <c r="AB36" s="11"/>
      <c r="AC36" s="11"/>
      <c r="AD36" s="11"/>
      <c r="AE36" s="11"/>
      <c r="AF36" s="11"/>
      <c r="AG36" s="11"/>
      <c r="AH36" s="11"/>
    </row>
    <row r="37" spans="1:34" x14ac:dyDescent="0.3">
      <c r="A37" s="11"/>
      <c r="B37" s="11"/>
      <c r="C37" s="11"/>
      <c r="D37" s="11"/>
      <c r="E37" s="11"/>
      <c r="F37" s="11"/>
      <c r="G37" s="11"/>
      <c r="H37" s="11"/>
      <c r="I37" s="11"/>
      <c r="J37" s="11"/>
      <c r="K37" s="11"/>
      <c r="L37" s="11"/>
      <c r="M37" s="11"/>
      <c r="N37" s="11"/>
      <c r="O37" s="11"/>
      <c r="P37" s="11"/>
      <c r="Q37" s="11"/>
      <c r="R37" s="11"/>
      <c r="S37" s="11"/>
      <c r="T37" s="11"/>
      <c r="U37" s="11"/>
      <c r="V37" s="11"/>
      <c r="W37" s="11"/>
      <c r="X37" s="11"/>
      <c r="Y37" s="11"/>
      <c r="Z37" s="11"/>
      <c r="AA37" s="11"/>
      <c r="AB37" s="11"/>
      <c r="AC37" s="11"/>
      <c r="AD37" s="11"/>
      <c r="AE37" s="11"/>
      <c r="AF37" s="11"/>
      <c r="AG37" s="11"/>
      <c r="AH37" s="11"/>
    </row>
    <row r="38" spans="1:34" x14ac:dyDescent="0.3">
      <c r="A38" s="11"/>
      <c r="B38" s="11"/>
      <c r="C38" s="11"/>
      <c r="D38" s="11"/>
      <c r="E38" s="11"/>
      <c r="F38" s="11"/>
      <c r="G38" s="11"/>
      <c r="H38" s="11"/>
      <c r="I38" s="11"/>
      <c r="J38" s="11"/>
      <c r="K38" s="11"/>
      <c r="L38" s="11"/>
      <c r="M38" s="11"/>
      <c r="N38" s="11"/>
      <c r="O38" s="11"/>
      <c r="P38" s="11"/>
      <c r="Q38" s="11"/>
      <c r="R38" s="11"/>
      <c r="S38" s="11"/>
      <c r="T38" s="11"/>
      <c r="U38" s="11"/>
      <c r="V38" s="11"/>
      <c r="W38" s="11"/>
      <c r="X38" s="11"/>
      <c r="Y38" s="11"/>
      <c r="Z38" s="11"/>
      <c r="AA38" s="11"/>
      <c r="AB38" s="11"/>
      <c r="AC38" s="11"/>
      <c r="AD38" s="11"/>
      <c r="AE38" s="11"/>
      <c r="AF38" s="11"/>
      <c r="AG38" s="11"/>
      <c r="AH38" s="11"/>
    </row>
    <row r="39" spans="1:34" x14ac:dyDescent="0.3">
      <c r="A39" s="11"/>
      <c r="B39" s="11"/>
      <c r="C39" s="11"/>
      <c r="D39" s="11"/>
      <c r="E39" s="11"/>
      <c r="F39" s="11"/>
      <c r="G39" s="11"/>
      <c r="H39" s="11"/>
      <c r="I39" s="11"/>
      <c r="J39" s="11"/>
      <c r="K39" s="11"/>
      <c r="L39" s="11"/>
      <c r="M39" s="11"/>
      <c r="N39" s="11"/>
      <c r="O39" s="11"/>
      <c r="P39" s="11"/>
      <c r="Q39" s="11"/>
      <c r="R39" s="11"/>
      <c r="S39" s="11"/>
      <c r="T39" s="11"/>
      <c r="U39" s="11"/>
      <c r="V39" s="11"/>
      <c r="W39" s="11"/>
      <c r="X39" s="11"/>
      <c r="Y39" s="11"/>
      <c r="Z39" s="11"/>
      <c r="AA39" s="11"/>
      <c r="AB39" s="11"/>
      <c r="AC39" s="11"/>
      <c r="AD39" s="11"/>
      <c r="AE39" s="11"/>
      <c r="AF39" s="11"/>
      <c r="AG39" s="11"/>
      <c r="AH39" s="11"/>
    </row>
    <row r="40" spans="1:34" x14ac:dyDescent="0.3">
      <c r="A40" s="11"/>
      <c r="B40" s="11"/>
      <c r="C40" s="11"/>
      <c r="D40" s="11"/>
      <c r="E40" s="11"/>
      <c r="F40" s="11"/>
      <c r="G40" s="11"/>
      <c r="H40" s="11"/>
      <c r="I40" s="11"/>
      <c r="J40" s="11"/>
      <c r="K40" s="11"/>
      <c r="L40" s="11"/>
      <c r="M40" s="11"/>
      <c r="N40" s="11"/>
      <c r="O40" s="11"/>
      <c r="P40" s="11"/>
      <c r="Q40" s="11"/>
      <c r="R40" s="11"/>
      <c r="S40" s="11"/>
      <c r="T40" s="11"/>
      <c r="U40" s="11"/>
      <c r="V40" s="11"/>
      <c r="W40" s="11"/>
      <c r="X40" s="11"/>
      <c r="Y40" s="11"/>
      <c r="Z40" s="11"/>
      <c r="AA40" s="11"/>
      <c r="AB40" s="11"/>
      <c r="AC40" s="11"/>
      <c r="AD40" s="11"/>
      <c r="AE40" s="11"/>
      <c r="AF40" s="11"/>
      <c r="AG40" s="11"/>
      <c r="AH40" s="11"/>
    </row>
    <row r="41" spans="1:34" x14ac:dyDescent="0.3">
      <c r="A41" s="11"/>
      <c r="B41" s="11"/>
      <c r="C41" s="11"/>
      <c r="D41" s="11"/>
      <c r="E41" s="11"/>
      <c r="F41" s="11"/>
      <c r="G41" s="11"/>
      <c r="H41" s="11"/>
      <c r="I41" s="11"/>
      <c r="J41" s="11"/>
      <c r="K41" s="11"/>
      <c r="L41" s="11"/>
      <c r="M41" s="11"/>
      <c r="N41" s="11"/>
      <c r="O41" s="11"/>
      <c r="P41" s="11"/>
      <c r="Q41" s="11"/>
      <c r="R41" s="11"/>
      <c r="S41" s="11"/>
      <c r="T41" s="11"/>
      <c r="U41" s="11"/>
      <c r="V41" s="11"/>
      <c r="W41" s="11"/>
      <c r="X41" s="11"/>
      <c r="Y41" s="11"/>
      <c r="Z41" s="11"/>
      <c r="AA41" s="11"/>
      <c r="AB41" s="11"/>
      <c r="AC41" s="11"/>
      <c r="AD41" s="11"/>
      <c r="AE41" s="11"/>
      <c r="AF41" s="11"/>
      <c r="AG41" s="11"/>
      <c r="AH41" s="11"/>
    </row>
    <row r="42" spans="1:34" x14ac:dyDescent="0.3">
      <c r="A42" s="11"/>
      <c r="B42" s="11"/>
      <c r="C42" s="11"/>
      <c r="D42" s="11"/>
      <c r="E42" s="11"/>
      <c r="F42" s="11"/>
      <c r="G42" s="11"/>
      <c r="H42" s="11"/>
      <c r="I42" s="11"/>
      <c r="J42" s="11"/>
      <c r="K42" s="11"/>
      <c r="L42" s="11"/>
      <c r="M42" s="11"/>
      <c r="N42" s="11"/>
      <c r="O42" s="11"/>
      <c r="P42" s="11"/>
      <c r="Q42" s="11"/>
      <c r="R42" s="11"/>
      <c r="S42" s="11"/>
      <c r="T42" s="11"/>
      <c r="U42" s="11"/>
      <c r="V42" s="11"/>
      <c r="W42" s="11"/>
      <c r="X42" s="11"/>
      <c r="Y42" s="11"/>
      <c r="Z42" s="11"/>
      <c r="AA42" s="11"/>
      <c r="AB42" s="11"/>
      <c r="AC42" s="11"/>
      <c r="AD42" s="11"/>
      <c r="AE42" s="11"/>
      <c r="AF42" s="11"/>
      <c r="AG42" s="11"/>
      <c r="AH42" s="11"/>
    </row>
    <row r="43" spans="1:34" x14ac:dyDescent="0.3">
      <c r="A43" s="11"/>
      <c r="B43" s="11"/>
      <c r="C43" s="11"/>
      <c r="D43" s="11"/>
      <c r="E43" s="11"/>
      <c r="F43" s="11"/>
      <c r="G43" s="11"/>
      <c r="H43" s="11"/>
      <c r="I43" s="11"/>
      <c r="J43" s="11"/>
      <c r="K43" s="11"/>
      <c r="L43" s="11"/>
      <c r="M43" s="11"/>
      <c r="N43" s="11"/>
      <c r="O43" s="11"/>
      <c r="P43" s="11"/>
      <c r="Q43" s="11"/>
      <c r="R43" s="11"/>
      <c r="S43" s="11"/>
      <c r="T43" s="11"/>
      <c r="U43" s="11"/>
      <c r="V43" s="11"/>
      <c r="W43" s="11"/>
      <c r="X43" s="11"/>
      <c r="Y43" s="11"/>
      <c r="Z43" s="11"/>
      <c r="AA43" s="11"/>
      <c r="AB43" s="11"/>
      <c r="AC43" s="11"/>
      <c r="AD43" s="11"/>
      <c r="AE43" s="11"/>
      <c r="AF43" s="11"/>
      <c r="AG43" s="11"/>
      <c r="AH43" s="11"/>
    </row>
    <row r="44" spans="1:34" x14ac:dyDescent="0.3">
      <c r="A44" s="11"/>
      <c r="B44" s="11"/>
      <c r="C44" s="11"/>
      <c r="D44" s="11"/>
      <c r="E44" s="11"/>
      <c r="F44" s="11"/>
      <c r="G44" s="11"/>
      <c r="H44" s="11"/>
      <c r="I44" s="11"/>
      <c r="J44" s="11"/>
      <c r="K44" s="11"/>
      <c r="L44" s="11"/>
      <c r="M44" s="11"/>
      <c r="N44" s="11"/>
      <c r="O44" s="11"/>
      <c r="P44" s="11"/>
      <c r="Q44" s="11"/>
      <c r="R44" s="11"/>
      <c r="S44" s="11"/>
      <c r="T44" s="11"/>
      <c r="U44" s="11"/>
      <c r="V44" s="11"/>
      <c r="W44" s="11"/>
      <c r="X44" s="11"/>
      <c r="Y44" s="11"/>
      <c r="Z44" s="11"/>
      <c r="AA44" s="11"/>
      <c r="AB44" s="11"/>
      <c r="AC44" s="11"/>
      <c r="AD44" s="11"/>
      <c r="AE44" s="11"/>
      <c r="AF44" s="11"/>
      <c r="AG44" s="11"/>
      <c r="AH44" s="11"/>
    </row>
    <row r="45" spans="1:34" x14ac:dyDescent="0.3">
      <c r="A45" s="11"/>
      <c r="B45" s="11"/>
      <c r="C45" s="11"/>
      <c r="D45" s="11"/>
      <c r="E45" s="11"/>
      <c r="F45" s="11"/>
      <c r="G45" s="11"/>
      <c r="H45" s="11"/>
      <c r="I45" s="11"/>
      <c r="J45" s="11"/>
      <c r="K45" s="11"/>
      <c r="L45" s="11"/>
      <c r="M45" s="11"/>
      <c r="N45" s="11"/>
      <c r="O45" s="11"/>
      <c r="P45" s="11"/>
      <c r="Q45" s="11"/>
      <c r="R45" s="11"/>
      <c r="S45" s="11"/>
      <c r="T45" s="11"/>
      <c r="U45" s="11"/>
      <c r="V45" s="11"/>
      <c r="W45" s="11"/>
      <c r="X45" s="11"/>
      <c r="Y45" s="11"/>
      <c r="Z45" s="11"/>
      <c r="AA45" s="11"/>
      <c r="AB45" s="11"/>
      <c r="AC45" s="11"/>
      <c r="AD45" s="11"/>
      <c r="AE45" s="11"/>
      <c r="AF45" s="11"/>
      <c r="AG45" s="11"/>
      <c r="AH45" s="11"/>
    </row>
    <row r="46" spans="1:34" x14ac:dyDescent="0.3">
      <c r="A46" s="11"/>
      <c r="B46" s="11"/>
      <c r="C46" s="11"/>
      <c r="D46" s="11"/>
      <c r="E46" s="11"/>
      <c r="F46" s="11"/>
      <c r="G46" s="11"/>
      <c r="H46" s="11"/>
      <c r="I46" s="11"/>
      <c r="J46" s="11"/>
      <c r="K46" s="11"/>
      <c r="L46" s="11"/>
      <c r="M46" s="11"/>
      <c r="N46" s="11"/>
      <c r="O46" s="11"/>
      <c r="P46" s="11"/>
      <c r="Q46" s="11"/>
      <c r="R46" s="11"/>
      <c r="S46" s="11"/>
      <c r="T46" s="11"/>
      <c r="U46" s="11"/>
      <c r="V46" s="11"/>
      <c r="W46" s="11"/>
      <c r="X46" s="11"/>
      <c r="Y46" s="11"/>
      <c r="Z46" s="11"/>
      <c r="AA46" s="11"/>
      <c r="AB46" s="11"/>
      <c r="AC46" s="11"/>
      <c r="AD46" s="11"/>
      <c r="AE46" s="11"/>
      <c r="AF46" s="11"/>
      <c r="AG46" s="11"/>
      <c r="AH46" s="11"/>
    </row>
    <row r="47" spans="1:34" x14ac:dyDescent="0.3">
      <c r="A47" s="11"/>
      <c r="B47" s="11"/>
      <c r="C47" s="11"/>
      <c r="D47" s="11"/>
      <c r="E47" s="11"/>
      <c r="F47" s="11"/>
      <c r="G47" s="11"/>
      <c r="H47" s="11"/>
      <c r="I47" s="11"/>
      <c r="J47" s="11"/>
      <c r="K47" s="11"/>
      <c r="L47" s="11"/>
      <c r="M47" s="11"/>
      <c r="N47" s="11"/>
      <c r="O47" s="11"/>
      <c r="P47" s="11"/>
      <c r="Q47" s="11"/>
      <c r="R47" s="11"/>
      <c r="S47" s="11"/>
      <c r="T47" s="11"/>
      <c r="U47" s="11"/>
      <c r="V47" s="11"/>
      <c r="W47" s="11"/>
      <c r="X47" s="11"/>
      <c r="Y47" s="11"/>
      <c r="Z47" s="11"/>
      <c r="AA47" s="11"/>
      <c r="AB47" s="11"/>
      <c r="AC47" s="11"/>
      <c r="AD47" s="11"/>
      <c r="AE47" s="11"/>
      <c r="AF47" s="11"/>
      <c r="AG47" s="11"/>
      <c r="AH47" s="11"/>
    </row>
    <row r="48" spans="1:34" x14ac:dyDescent="0.3">
      <c r="A48" s="11"/>
      <c r="B48" s="11"/>
      <c r="C48" s="11"/>
      <c r="D48" s="11"/>
      <c r="E48" s="11"/>
      <c r="F48" s="11"/>
      <c r="G48" s="11"/>
      <c r="H48" s="11"/>
      <c r="I48" s="11"/>
      <c r="J48" s="11"/>
      <c r="K48" s="11"/>
      <c r="L48" s="11"/>
      <c r="M48" s="11"/>
      <c r="N48" s="11"/>
      <c r="O48" s="11"/>
      <c r="P48" s="11"/>
      <c r="Q48" s="11"/>
      <c r="R48" s="11"/>
      <c r="S48" s="11"/>
      <c r="T48" s="11"/>
      <c r="U48" s="11"/>
      <c r="V48" s="11"/>
      <c r="W48" s="11"/>
      <c r="X48" s="11"/>
      <c r="Y48" s="11"/>
      <c r="Z48" s="11"/>
      <c r="AA48" s="11"/>
      <c r="AB48" s="11"/>
      <c r="AC48" s="11"/>
      <c r="AD48" s="11"/>
      <c r="AE48" s="11"/>
      <c r="AF48" s="11"/>
      <c r="AG48" s="11"/>
      <c r="AH48" s="11"/>
    </row>
    <row r="49" spans="1:34" x14ac:dyDescent="0.3">
      <c r="A49" s="11"/>
      <c r="B49" s="11"/>
      <c r="C49" s="11"/>
      <c r="D49" s="11"/>
      <c r="E49" s="11"/>
      <c r="F49" s="11"/>
      <c r="G49" s="11"/>
      <c r="H49" s="11"/>
      <c r="I49" s="11"/>
      <c r="J49" s="11"/>
      <c r="K49" s="11"/>
      <c r="L49" s="11"/>
      <c r="M49" s="11"/>
      <c r="N49" s="11"/>
      <c r="O49" s="11"/>
      <c r="P49" s="11"/>
      <c r="Q49" s="11"/>
      <c r="R49" s="11"/>
      <c r="S49" s="11"/>
      <c r="T49" s="11"/>
      <c r="U49" s="11"/>
      <c r="V49" s="11"/>
      <c r="W49" s="11"/>
      <c r="X49" s="11"/>
      <c r="Y49" s="11"/>
      <c r="Z49" s="11"/>
      <c r="AA49" s="11"/>
      <c r="AB49" s="11"/>
      <c r="AC49" s="11"/>
      <c r="AD49" s="11"/>
      <c r="AE49" s="11"/>
      <c r="AF49" s="11"/>
      <c r="AG49" s="11"/>
      <c r="AH49" s="11"/>
    </row>
    <row r="50" spans="1:34" x14ac:dyDescent="0.3">
      <c r="A50" s="11"/>
      <c r="B50" s="11"/>
      <c r="C50" s="11"/>
      <c r="D50" s="11"/>
      <c r="E50" s="11"/>
      <c r="F50" s="11"/>
      <c r="G50" s="11"/>
      <c r="H50" s="11"/>
      <c r="I50" s="11"/>
      <c r="J50" s="11"/>
      <c r="K50" s="11"/>
      <c r="L50" s="11"/>
      <c r="M50" s="11"/>
      <c r="N50" s="11"/>
      <c r="O50" s="11"/>
      <c r="P50" s="11"/>
      <c r="Q50" s="11"/>
      <c r="R50" s="11"/>
      <c r="S50" s="11"/>
      <c r="T50" s="11"/>
      <c r="U50" s="11"/>
      <c r="V50" s="11"/>
      <c r="W50" s="11"/>
      <c r="X50" s="11"/>
      <c r="Y50" s="11"/>
      <c r="Z50" s="11"/>
      <c r="AA50" s="11"/>
      <c r="AB50" s="11"/>
      <c r="AC50" s="11"/>
      <c r="AD50" s="11"/>
      <c r="AE50" s="11"/>
      <c r="AF50" s="11"/>
      <c r="AG50" s="11"/>
      <c r="AH50" s="11"/>
    </row>
    <row r="51" spans="1:34" x14ac:dyDescent="0.3">
      <c r="A51" s="11"/>
      <c r="B51" s="11"/>
      <c r="C51" s="11"/>
      <c r="D51" s="11"/>
      <c r="E51" s="11"/>
      <c r="F51" s="11"/>
      <c r="G51" s="11"/>
      <c r="H51" s="11"/>
      <c r="I51" s="11"/>
      <c r="J51" s="11"/>
      <c r="K51" s="11"/>
      <c r="L51" s="11"/>
      <c r="M51" s="11"/>
      <c r="N51" s="11"/>
      <c r="O51" s="11"/>
      <c r="P51" s="11"/>
      <c r="Q51" s="11"/>
      <c r="R51" s="11"/>
      <c r="S51" s="11"/>
      <c r="T51" s="11"/>
      <c r="U51" s="11"/>
      <c r="V51" s="11"/>
      <c r="W51" s="11"/>
      <c r="X51" s="11"/>
      <c r="Y51" s="11"/>
      <c r="Z51" s="11"/>
      <c r="AA51" s="11"/>
      <c r="AB51" s="11"/>
      <c r="AC51" s="11"/>
      <c r="AD51" s="11"/>
      <c r="AE51" s="11"/>
      <c r="AF51" s="11"/>
      <c r="AG51" s="11"/>
      <c r="AH51" s="11"/>
    </row>
    <row r="52" spans="1:34" x14ac:dyDescent="0.3">
      <c r="A52" s="11"/>
      <c r="B52" s="11"/>
      <c r="C52" s="11"/>
      <c r="D52" s="11"/>
      <c r="E52" s="11"/>
      <c r="F52" s="11"/>
      <c r="G52" s="11"/>
      <c r="H52" s="11"/>
      <c r="I52" s="11"/>
      <c r="J52" s="11"/>
      <c r="K52" s="11"/>
      <c r="L52" s="11"/>
      <c r="M52" s="11"/>
      <c r="N52" s="11"/>
      <c r="O52" s="11"/>
      <c r="P52" s="11"/>
      <c r="Q52" s="11"/>
      <c r="R52" s="11"/>
      <c r="S52" s="11"/>
      <c r="T52" s="11"/>
      <c r="U52" s="11"/>
      <c r="V52" s="11"/>
      <c r="W52" s="11"/>
      <c r="X52" s="11"/>
      <c r="Y52" s="11"/>
      <c r="Z52" s="11"/>
      <c r="AA52" s="11"/>
      <c r="AB52" s="11"/>
      <c r="AC52" s="11"/>
      <c r="AD52" s="11"/>
      <c r="AE52" s="11"/>
      <c r="AF52" s="11"/>
      <c r="AG52" s="11"/>
      <c r="AH52" s="11"/>
    </row>
    <row r="53" spans="1:34" x14ac:dyDescent="0.3">
      <c r="A53" s="11"/>
      <c r="B53" s="11"/>
      <c r="C53" s="11"/>
      <c r="D53" s="11"/>
      <c r="E53" s="11"/>
      <c r="F53" s="11"/>
      <c r="G53" s="11"/>
      <c r="H53" s="11"/>
      <c r="I53" s="11"/>
      <c r="J53" s="11"/>
      <c r="K53" s="11"/>
      <c r="L53" s="11"/>
      <c r="M53" s="11"/>
      <c r="N53" s="11"/>
      <c r="O53" s="11"/>
      <c r="P53" s="11"/>
      <c r="Q53" s="11"/>
      <c r="R53" s="11"/>
      <c r="S53" s="11"/>
      <c r="T53" s="11"/>
      <c r="U53" s="11"/>
      <c r="V53" s="11"/>
      <c r="W53" s="11"/>
      <c r="X53" s="11"/>
      <c r="Y53" s="11"/>
      <c r="Z53" s="11"/>
      <c r="AA53" s="11"/>
      <c r="AB53" s="11"/>
      <c r="AC53" s="11"/>
      <c r="AD53" s="11"/>
      <c r="AE53" s="11"/>
      <c r="AF53" s="11"/>
      <c r="AG53" s="11"/>
      <c r="AH53" s="11"/>
    </row>
    <row r="54" spans="1:34" x14ac:dyDescent="0.3">
      <c r="A54" s="11"/>
      <c r="B54" s="11"/>
      <c r="C54" s="11"/>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1"/>
      <c r="AD54" s="11"/>
      <c r="AE54" s="11"/>
      <c r="AF54" s="11"/>
      <c r="AG54" s="11"/>
      <c r="AH54" s="11"/>
    </row>
    <row r="55" spans="1:34" x14ac:dyDescent="0.3">
      <c r="A55" s="11"/>
      <c r="B55" s="11"/>
      <c r="C55" s="11"/>
      <c r="D55" s="11"/>
      <c r="E55" s="11"/>
      <c r="F55" s="11"/>
      <c r="G55" s="11"/>
      <c r="H55" s="11"/>
      <c r="I55" s="11"/>
      <c r="J55" s="11"/>
      <c r="K55" s="11"/>
      <c r="L55" s="11"/>
      <c r="M55" s="11"/>
      <c r="N55" s="11"/>
      <c r="O55" s="11"/>
      <c r="P55" s="11"/>
      <c r="Q55" s="11"/>
      <c r="R55" s="11"/>
      <c r="S55" s="11"/>
      <c r="T55" s="11"/>
      <c r="U55" s="11"/>
      <c r="V55" s="11"/>
      <c r="W55" s="11"/>
      <c r="X55" s="11"/>
      <c r="Y55" s="11"/>
      <c r="Z55" s="11"/>
      <c r="AA55" s="11"/>
      <c r="AB55" s="11"/>
      <c r="AC55" s="11"/>
      <c r="AD55" s="11"/>
      <c r="AE55" s="11"/>
      <c r="AF55" s="11"/>
      <c r="AG55" s="11"/>
      <c r="AH55" s="11"/>
    </row>
    <row r="56" spans="1:34" x14ac:dyDescent="0.3">
      <c r="A56" s="11"/>
      <c r="B56" s="11"/>
      <c r="C56" s="11"/>
      <c r="D56" s="11"/>
      <c r="E56" s="11"/>
      <c r="F56" s="11"/>
      <c r="G56" s="11"/>
      <c r="H56" s="11"/>
      <c r="I56" s="11"/>
      <c r="J56" s="11"/>
      <c r="K56" s="11"/>
      <c r="L56" s="11"/>
      <c r="M56" s="11"/>
      <c r="N56" s="11"/>
      <c r="O56" s="11"/>
      <c r="P56" s="11"/>
      <c r="Q56" s="11"/>
      <c r="R56" s="11"/>
      <c r="S56" s="11"/>
      <c r="T56" s="11"/>
      <c r="U56" s="11"/>
      <c r="V56" s="11"/>
      <c r="W56" s="11"/>
      <c r="X56" s="11"/>
      <c r="Y56" s="11"/>
      <c r="Z56" s="11"/>
      <c r="AA56" s="11"/>
      <c r="AB56" s="11"/>
      <c r="AC56" s="11"/>
      <c r="AD56" s="11"/>
      <c r="AE56" s="11"/>
      <c r="AF56" s="11"/>
      <c r="AG56" s="11"/>
      <c r="AH56" s="11"/>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DFB6B-5C14-4F02-82B6-E3961C0B66BE}">
  <sheetPr codeName="Sheet2"/>
  <dimension ref="A1:AH56"/>
  <sheetViews>
    <sheetView showGridLines="0" showRowColHeaders="0" tabSelected="1" zoomScale="70" zoomScaleNormal="70" workbookViewId="0">
      <selection activeCell="AJ18" sqref="AJ18"/>
    </sheetView>
  </sheetViews>
  <sheetFormatPr defaultRowHeight="14.4" x14ac:dyDescent="0.3"/>
  <sheetData>
    <row r="1" spans="1:34" x14ac:dyDescent="0.3">
      <c r="A1" s="11"/>
      <c r="B1" s="11"/>
      <c r="C1" s="11"/>
      <c r="D1" s="11"/>
      <c r="E1" s="11"/>
      <c r="F1" s="11"/>
      <c r="G1" s="11"/>
      <c r="H1" s="11"/>
      <c r="I1" s="11"/>
      <c r="J1" s="11"/>
      <c r="K1" s="11"/>
      <c r="L1" s="11"/>
      <c r="M1" s="11"/>
      <c r="N1" s="11"/>
      <c r="O1" s="11"/>
      <c r="P1" s="11"/>
      <c r="Q1" s="11"/>
      <c r="R1" s="11"/>
      <c r="S1" s="11"/>
      <c r="T1" s="11"/>
      <c r="U1" s="11"/>
      <c r="V1" s="11"/>
      <c r="W1" s="11"/>
      <c r="X1" s="11"/>
      <c r="Y1" s="11"/>
      <c r="Z1" s="11"/>
      <c r="AA1" s="11"/>
      <c r="AB1" s="11"/>
      <c r="AC1" s="11"/>
      <c r="AD1" s="11"/>
      <c r="AE1" s="11"/>
      <c r="AF1" s="11"/>
      <c r="AG1" s="11"/>
      <c r="AH1" s="11"/>
    </row>
    <row r="2" spans="1:34" x14ac:dyDescent="0.3">
      <c r="A2" s="11"/>
      <c r="B2" s="11"/>
      <c r="C2" s="11"/>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row>
    <row r="3" spans="1:34" x14ac:dyDescent="0.3">
      <c r="A3" s="11"/>
      <c r="B3" s="11"/>
      <c r="C3" s="11"/>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row>
    <row r="4" spans="1:34" x14ac:dyDescent="0.3">
      <c r="A4" s="11"/>
      <c r="B4" s="11"/>
      <c r="C4" s="11"/>
      <c r="D4" s="11"/>
      <c r="E4" s="11"/>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row>
    <row r="5" spans="1:34" x14ac:dyDescent="0.3">
      <c r="A5" s="11"/>
      <c r="B5" s="11"/>
      <c r="C5" s="11"/>
      <c r="D5" s="11"/>
      <c r="E5" s="11"/>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row>
    <row r="6" spans="1:34" x14ac:dyDescent="0.3">
      <c r="A6" s="11"/>
      <c r="B6" s="11"/>
      <c r="C6" s="11"/>
      <c r="D6" s="11"/>
      <c r="E6" s="11"/>
      <c r="F6" s="11"/>
      <c r="G6" s="11"/>
      <c r="H6" s="11"/>
      <c r="I6" s="11"/>
      <c r="J6" s="11"/>
      <c r="K6" s="11"/>
      <c r="L6" s="11"/>
      <c r="M6" s="11"/>
      <c r="N6" s="11"/>
      <c r="O6" s="11"/>
      <c r="P6" s="11"/>
      <c r="Q6" s="11"/>
      <c r="R6" s="11"/>
      <c r="S6" s="11"/>
      <c r="T6" s="11"/>
      <c r="U6" s="11"/>
      <c r="V6" s="11"/>
      <c r="W6" s="11"/>
      <c r="X6" s="11"/>
      <c r="Y6" s="11"/>
      <c r="Z6" s="11"/>
      <c r="AA6" s="11"/>
      <c r="AB6" s="11"/>
      <c r="AC6" s="11"/>
      <c r="AD6" s="11"/>
      <c r="AE6" s="11"/>
      <c r="AF6" s="11"/>
      <c r="AG6" s="11"/>
      <c r="AH6" s="11"/>
    </row>
    <row r="7" spans="1:34" x14ac:dyDescent="0.3">
      <c r="A7" s="11"/>
      <c r="B7" s="11"/>
      <c r="C7" s="11"/>
      <c r="D7" s="11"/>
      <c r="E7" s="11"/>
      <c r="F7" s="11"/>
      <c r="G7" s="11"/>
      <c r="H7" s="11"/>
      <c r="I7" s="11"/>
      <c r="J7" s="11"/>
      <c r="K7" s="11"/>
      <c r="L7" s="11"/>
      <c r="M7" s="11"/>
      <c r="N7" s="11"/>
      <c r="O7" s="11"/>
      <c r="P7" s="11"/>
      <c r="Q7" s="11"/>
      <c r="R7" s="11"/>
      <c r="S7" s="11"/>
      <c r="T7" s="11"/>
      <c r="U7" s="11"/>
      <c r="V7" s="11"/>
      <c r="W7" s="11"/>
      <c r="X7" s="11"/>
      <c r="Y7" s="11"/>
      <c r="Z7" s="11"/>
      <c r="AA7" s="11"/>
      <c r="AB7" s="11"/>
      <c r="AC7" s="11"/>
      <c r="AD7" s="11"/>
      <c r="AE7" s="11"/>
      <c r="AF7" s="11"/>
      <c r="AG7" s="11"/>
      <c r="AH7" s="11"/>
    </row>
    <row r="8" spans="1:34" x14ac:dyDescent="0.3">
      <c r="A8" s="11"/>
      <c r="B8" s="11"/>
      <c r="C8" s="11"/>
      <c r="D8" s="11"/>
      <c r="E8" s="11"/>
      <c r="F8" s="11"/>
      <c r="G8" s="11"/>
      <c r="H8" s="11"/>
      <c r="I8" s="11"/>
      <c r="J8" s="11"/>
      <c r="K8" s="11"/>
      <c r="L8" s="11"/>
      <c r="M8" s="11"/>
      <c r="N8" s="11"/>
      <c r="O8" s="11"/>
      <c r="P8" s="11"/>
      <c r="Q8" s="11"/>
      <c r="R8" s="11"/>
      <c r="S8" s="11"/>
      <c r="T8" s="11"/>
      <c r="U8" s="11"/>
      <c r="V8" s="11"/>
      <c r="W8" s="11"/>
      <c r="X8" s="11"/>
      <c r="Y8" s="11"/>
      <c r="Z8" s="11"/>
      <c r="AA8" s="11"/>
      <c r="AB8" s="11"/>
      <c r="AC8" s="11"/>
      <c r="AD8" s="11"/>
      <c r="AE8" s="11"/>
      <c r="AF8" s="11"/>
      <c r="AG8" s="11"/>
      <c r="AH8" s="11"/>
    </row>
    <row r="9" spans="1:34" x14ac:dyDescent="0.3">
      <c r="A9" s="11"/>
      <c r="B9" s="11"/>
      <c r="C9" s="11"/>
      <c r="D9" s="11"/>
      <c r="E9" s="11"/>
      <c r="F9" s="11"/>
      <c r="G9" s="11"/>
      <c r="H9" s="11"/>
      <c r="I9" s="11"/>
      <c r="J9" s="11"/>
      <c r="K9" s="11"/>
      <c r="L9" s="11"/>
      <c r="M9" s="11"/>
      <c r="N9" s="11"/>
      <c r="O9" s="11"/>
      <c r="P9" s="11"/>
      <c r="Q9" s="11"/>
      <c r="R9" s="11"/>
      <c r="S9" s="11"/>
      <c r="T9" s="11"/>
      <c r="U9" s="11"/>
      <c r="V9" s="11"/>
      <c r="W9" s="11"/>
      <c r="X9" s="11"/>
      <c r="Y9" s="11"/>
      <c r="Z9" s="11"/>
      <c r="AA9" s="11"/>
      <c r="AB9" s="11"/>
      <c r="AC9" s="11"/>
      <c r="AD9" s="11"/>
      <c r="AE9" s="11"/>
      <c r="AF9" s="11"/>
      <c r="AG9" s="11"/>
      <c r="AH9" s="11"/>
    </row>
    <row r="10" spans="1:34" x14ac:dyDescent="0.3">
      <c r="A10" s="11"/>
      <c r="B10" s="11"/>
      <c r="C10" s="11"/>
      <c r="D10" s="11"/>
      <c r="E10" s="11"/>
      <c r="F10" s="11"/>
      <c r="G10" s="11"/>
      <c r="H10" s="11"/>
      <c r="I10" s="11"/>
      <c r="J10" s="11"/>
      <c r="K10" s="11"/>
      <c r="L10" s="11"/>
      <c r="M10" s="11"/>
      <c r="N10" s="11"/>
      <c r="O10" s="11"/>
      <c r="P10" s="11"/>
      <c r="Q10" s="11"/>
      <c r="R10" s="11"/>
      <c r="S10" s="11"/>
      <c r="T10" s="11"/>
      <c r="U10" s="11"/>
      <c r="V10" s="11"/>
      <c r="W10" s="11"/>
      <c r="X10" s="11"/>
      <c r="Y10" s="11"/>
      <c r="Z10" s="11"/>
      <c r="AA10" s="11"/>
      <c r="AB10" s="11"/>
      <c r="AC10" s="11"/>
      <c r="AD10" s="11"/>
      <c r="AE10" s="11"/>
      <c r="AF10" s="11"/>
      <c r="AG10" s="11"/>
      <c r="AH10" s="11"/>
    </row>
    <row r="11" spans="1:34" x14ac:dyDescent="0.3">
      <c r="A11" s="11"/>
      <c r="B11" s="11"/>
      <c r="C11" s="11"/>
      <c r="D11" s="11"/>
      <c r="E11" s="11"/>
      <c r="F11" s="11"/>
      <c r="G11" s="11"/>
      <c r="H11" s="11"/>
      <c r="I11" s="11"/>
      <c r="J11" s="11"/>
      <c r="K11" s="11"/>
      <c r="L11" s="11"/>
      <c r="M11" s="11"/>
      <c r="N11" s="11"/>
      <c r="O11" s="11"/>
      <c r="P11" s="11"/>
      <c r="Q11" s="11"/>
      <c r="R11" s="11"/>
      <c r="S11" s="11"/>
      <c r="T11" s="11"/>
      <c r="U11" s="11"/>
      <c r="V11" s="11"/>
      <c r="W11" s="11"/>
      <c r="X11" s="11"/>
      <c r="Y11" s="11"/>
      <c r="Z11" s="11"/>
      <c r="AA11" s="11"/>
      <c r="AB11" s="11"/>
      <c r="AC11" s="11"/>
      <c r="AD11" s="11"/>
      <c r="AE11" s="11"/>
      <c r="AF11" s="11"/>
      <c r="AG11" s="11"/>
      <c r="AH11" s="11"/>
    </row>
    <row r="12" spans="1:34" x14ac:dyDescent="0.3">
      <c r="A12" s="11"/>
      <c r="B12" s="11"/>
      <c r="C12" s="11"/>
      <c r="D12" s="11"/>
      <c r="E12" s="11"/>
      <c r="F12" s="11"/>
      <c r="G12" s="11"/>
      <c r="H12" s="11"/>
      <c r="I12" s="11"/>
      <c r="J12" s="11"/>
      <c r="K12" s="11"/>
      <c r="L12" s="11"/>
      <c r="M12" s="11"/>
      <c r="N12" s="11"/>
      <c r="O12" s="11"/>
      <c r="P12" s="11"/>
      <c r="Q12" s="11"/>
      <c r="R12" s="11"/>
      <c r="S12" s="11"/>
      <c r="T12" s="11"/>
      <c r="U12" s="11"/>
      <c r="V12" s="11"/>
      <c r="W12" s="11"/>
      <c r="X12" s="11"/>
      <c r="Y12" s="11"/>
      <c r="Z12" s="11"/>
      <c r="AA12" s="11"/>
      <c r="AB12" s="11"/>
      <c r="AC12" s="11"/>
      <c r="AD12" s="11"/>
      <c r="AE12" s="11"/>
      <c r="AF12" s="11"/>
      <c r="AG12" s="11"/>
      <c r="AH12" s="11"/>
    </row>
    <row r="13" spans="1:34" x14ac:dyDescent="0.3">
      <c r="A13" s="11"/>
      <c r="B13" s="11"/>
      <c r="C13" s="11"/>
      <c r="D13" s="11"/>
      <c r="E13" s="11"/>
      <c r="F13" s="11"/>
      <c r="G13" s="11"/>
      <c r="H13" s="11"/>
      <c r="I13" s="11"/>
      <c r="J13" s="11"/>
      <c r="K13" s="11"/>
      <c r="L13" s="11"/>
      <c r="M13" s="11"/>
      <c r="N13" s="11"/>
      <c r="O13" s="11"/>
      <c r="P13" s="11"/>
      <c r="Q13" s="11"/>
      <c r="R13" s="11"/>
      <c r="S13" s="11"/>
      <c r="T13" s="11"/>
      <c r="U13" s="11"/>
      <c r="V13" s="11"/>
      <c r="W13" s="11"/>
      <c r="X13" s="11"/>
      <c r="Y13" s="11"/>
      <c r="Z13" s="11"/>
      <c r="AA13" s="11"/>
      <c r="AB13" s="11"/>
      <c r="AC13" s="11"/>
      <c r="AD13" s="11"/>
      <c r="AE13" s="11"/>
      <c r="AF13" s="11"/>
      <c r="AG13" s="11"/>
      <c r="AH13" s="11"/>
    </row>
    <row r="14" spans="1:34" x14ac:dyDescent="0.3">
      <c r="A14" s="11"/>
      <c r="B14" s="11"/>
      <c r="C14" s="11"/>
      <c r="D14" s="11"/>
      <c r="E14" s="11"/>
      <c r="F14" s="11"/>
      <c r="G14" s="11"/>
      <c r="H14" s="11"/>
      <c r="I14" s="11"/>
      <c r="J14" s="11"/>
      <c r="K14" s="11"/>
      <c r="L14" s="11"/>
      <c r="M14" s="11"/>
      <c r="N14" s="11"/>
      <c r="O14" s="11"/>
      <c r="P14" s="11"/>
      <c r="Q14" s="11"/>
      <c r="R14" s="11"/>
      <c r="S14" s="11"/>
      <c r="T14" s="11"/>
      <c r="U14" s="11"/>
      <c r="V14" s="11"/>
      <c r="W14" s="11"/>
      <c r="X14" s="11"/>
      <c r="Y14" s="11"/>
      <c r="Z14" s="11"/>
      <c r="AA14" s="11"/>
      <c r="AB14" s="11"/>
      <c r="AC14" s="11"/>
      <c r="AD14" s="11"/>
      <c r="AE14" s="11"/>
      <c r="AF14" s="11"/>
      <c r="AG14" s="11"/>
      <c r="AH14" s="11"/>
    </row>
    <row r="15" spans="1:34" x14ac:dyDescent="0.3">
      <c r="A15" s="11"/>
      <c r="B15" s="11"/>
      <c r="C15" s="11"/>
      <c r="D15" s="11"/>
      <c r="E15" s="11"/>
      <c r="F15" s="11"/>
      <c r="G15" s="11"/>
      <c r="H15" s="11"/>
      <c r="I15" s="11"/>
      <c r="J15" s="11"/>
      <c r="K15" s="11"/>
      <c r="L15" s="11"/>
      <c r="M15" s="11"/>
      <c r="N15" s="11"/>
      <c r="O15" s="11"/>
      <c r="P15" s="11"/>
      <c r="Q15" s="11"/>
      <c r="R15" s="11"/>
      <c r="S15" s="11"/>
      <c r="T15" s="11"/>
      <c r="U15" s="11"/>
      <c r="V15" s="11"/>
      <c r="W15" s="11"/>
      <c r="X15" s="11"/>
      <c r="Y15" s="11"/>
      <c r="Z15" s="11"/>
      <c r="AA15" s="11"/>
      <c r="AB15" s="11"/>
      <c r="AC15" s="11"/>
      <c r="AD15" s="11"/>
      <c r="AE15" s="11"/>
      <c r="AF15" s="11"/>
      <c r="AG15" s="11"/>
      <c r="AH15" s="11"/>
    </row>
    <row r="16" spans="1:34" x14ac:dyDescent="0.3">
      <c r="A16" s="11"/>
      <c r="B16" s="11"/>
      <c r="C16" s="11"/>
      <c r="D16" s="11"/>
      <c r="E16" s="11"/>
      <c r="F16" s="11"/>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row>
    <row r="17" spans="1:34" x14ac:dyDescent="0.3">
      <c r="A17" s="11"/>
      <c r="B17" s="11"/>
      <c r="C17" s="11"/>
      <c r="D17" s="11"/>
      <c r="E17" s="11"/>
      <c r="F17" s="11"/>
      <c r="G17" s="11"/>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row>
    <row r="18" spans="1:34" x14ac:dyDescent="0.3">
      <c r="A18" s="11"/>
      <c r="B18" s="11"/>
      <c r="C18" s="11"/>
      <c r="D18" s="11"/>
      <c r="E18" s="11"/>
      <c r="F18" s="11"/>
      <c r="G18" s="11"/>
      <c r="H18" s="11"/>
      <c r="I18" s="11"/>
      <c r="J18" s="11"/>
      <c r="K18" s="11"/>
      <c r="L18" s="11"/>
      <c r="M18" s="11"/>
      <c r="N18" s="11"/>
      <c r="O18" s="11"/>
      <c r="P18" s="11"/>
      <c r="Q18" s="11"/>
      <c r="R18" s="11"/>
      <c r="S18" s="11"/>
      <c r="T18" s="11"/>
      <c r="U18" s="11"/>
      <c r="V18" s="11"/>
      <c r="W18" s="11"/>
      <c r="X18" s="11"/>
      <c r="Y18" s="11"/>
      <c r="Z18" s="11"/>
      <c r="AA18" s="11"/>
      <c r="AB18" s="11"/>
      <c r="AC18" s="11"/>
      <c r="AD18" s="11"/>
      <c r="AE18" s="11"/>
      <c r="AF18" s="11"/>
      <c r="AG18" s="11"/>
      <c r="AH18" s="11"/>
    </row>
    <row r="19" spans="1:34" x14ac:dyDescent="0.3">
      <c r="A19" s="11"/>
      <c r="B19" s="11"/>
      <c r="C19" s="11"/>
      <c r="D19" s="11"/>
      <c r="E19" s="11"/>
      <c r="F19" s="11"/>
      <c r="G19" s="11"/>
      <c r="H19" s="11"/>
      <c r="I19" s="11"/>
      <c r="J19" s="11"/>
      <c r="K19" s="11"/>
      <c r="L19" s="11"/>
      <c r="M19" s="11"/>
      <c r="N19" s="11"/>
      <c r="O19" s="11"/>
      <c r="P19" s="11"/>
      <c r="Q19" s="11"/>
      <c r="R19" s="11"/>
      <c r="S19" s="11"/>
      <c r="T19" s="11"/>
      <c r="U19" s="11"/>
      <c r="V19" s="11"/>
      <c r="W19" s="11"/>
      <c r="X19" s="11"/>
      <c r="Y19" s="11"/>
      <c r="Z19" s="11"/>
      <c r="AA19" s="11"/>
      <c r="AB19" s="11"/>
      <c r="AC19" s="11"/>
      <c r="AD19" s="11"/>
      <c r="AE19" s="11"/>
      <c r="AF19" s="11"/>
      <c r="AG19" s="11"/>
      <c r="AH19" s="11"/>
    </row>
    <row r="20" spans="1:34" x14ac:dyDescent="0.3">
      <c r="A20" s="11"/>
      <c r="B20" s="11"/>
      <c r="C20" s="11"/>
      <c r="D20" s="11"/>
      <c r="E20" s="11"/>
      <c r="F20" s="11"/>
      <c r="G20" s="11"/>
      <c r="H20" s="11"/>
      <c r="I20" s="11"/>
      <c r="J20" s="11"/>
      <c r="K20" s="11"/>
      <c r="L20" s="11"/>
      <c r="M20" s="11"/>
      <c r="N20" s="11"/>
      <c r="O20" s="11"/>
      <c r="P20" s="11"/>
      <c r="Q20" s="11"/>
      <c r="R20" s="11"/>
      <c r="S20" s="11"/>
      <c r="T20" s="11"/>
      <c r="U20" s="11"/>
      <c r="V20" s="11"/>
      <c r="W20" s="11"/>
      <c r="X20" s="11"/>
      <c r="Y20" s="11"/>
      <c r="Z20" s="11"/>
      <c r="AA20" s="11"/>
      <c r="AB20" s="11"/>
      <c r="AC20" s="11"/>
      <c r="AD20" s="11"/>
      <c r="AE20" s="11"/>
      <c r="AF20" s="11"/>
      <c r="AG20" s="11"/>
      <c r="AH20" s="11"/>
    </row>
    <row r="21" spans="1:34" x14ac:dyDescent="0.3">
      <c r="A21" s="11"/>
      <c r="B21" s="11"/>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row>
    <row r="22" spans="1:34" x14ac:dyDescent="0.3">
      <c r="A22" s="11"/>
      <c r="B22" s="11"/>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row>
    <row r="23" spans="1:34" x14ac:dyDescent="0.3">
      <c r="A23" s="11"/>
      <c r="B23" s="11"/>
      <c r="C23" s="11"/>
      <c r="D23" s="11"/>
      <c r="E23" s="11"/>
      <c r="F23" s="11"/>
      <c r="G23" s="11"/>
      <c r="H23" s="11"/>
      <c r="I23" s="11"/>
      <c r="J23" s="11"/>
      <c r="K23" s="11"/>
      <c r="L23" s="11"/>
      <c r="M23" s="11"/>
      <c r="N23" s="11"/>
      <c r="O23" s="11"/>
      <c r="P23" s="11"/>
      <c r="Q23" s="11"/>
      <c r="R23" s="11"/>
      <c r="S23" s="11"/>
      <c r="T23" s="11"/>
      <c r="U23" s="11"/>
      <c r="V23" s="11"/>
      <c r="W23" s="11"/>
      <c r="X23" s="11"/>
      <c r="Y23" s="11"/>
      <c r="Z23" s="11"/>
      <c r="AA23" s="11"/>
      <c r="AB23" s="11"/>
      <c r="AC23" s="11"/>
      <c r="AD23" s="11"/>
      <c r="AE23" s="11"/>
      <c r="AF23" s="11"/>
      <c r="AG23" s="11"/>
      <c r="AH23" s="11"/>
    </row>
    <row r="24" spans="1:34" x14ac:dyDescent="0.3">
      <c r="A24" s="11"/>
      <c r="B24" s="11"/>
      <c r="C24" s="11"/>
      <c r="D24" s="11"/>
      <c r="E24" s="11"/>
      <c r="F24" s="11"/>
      <c r="G24" s="11"/>
      <c r="H24" s="11"/>
      <c r="I24" s="11"/>
      <c r="J24" s="11"/>
      <c r="K24" s="11"/>
      <c r="L24" s="11"/>
      <c r="M24" s="11"/>
      <c r="N24" s="11"/>
      <c r="O24" s="11"/>
      <c r="P24" s="11"/>
      <c r="Q24" s="11"/>
      <c r="R24" s="11"/>
      <c r="S24" s="11"/>
      <c r="T24" s="11"/>
      <c r="U24" s="11"/>
      <c r="V24" s="11"/>
      <c r="W24" s="11"/>
      <c r="X24" s="11"/>
      <c r="Y24" s="11"/>
      <c r="Z24" s="11"/>
      <c r="AA24" s="11"/>
      <c r="AB24" s="11"/>
      <c r="AC24" s="11"/>
      <c r="AD24" s="11"/>
      <c r="AE24" s="11"/>
      <c r="AF24" s="11"/>
      <c r="AG24" s="11"/>
      <c r="AH24" s="11"/>
    </row>
    <row r="25" spans="1:34" x14ac:dyDescent="0.3">
      <c r="A25" s="11"/>
      <c r="B25" s="11"/>
      <c r="C25" s="11"/>
      <c r="D25" s="11"/>
      <c r="E25" s="11"/>
      <c r="F25" s="11"/>
      <c r="G25" s="11"/>
      <c r="H25" s="11"/>
      <c r="I25" s="11"/>
      <c r="J25" s="11"/>
      <c r="K25" s="11"/>
      <c r="L25" s="11"/>
      <c r="M25" s="11"/>
      <c r="N25" s="11"/>
      <c r="O25" s="11"/>
      <c r="P25" s="11"/>
      <c r="Q25" s="11"/>
      <c r="R25" s="11"/>
      <c r="S25" s="11"/>
      <c r="T25" s="11"/>
      <c r="U25" s="11"/>
      <c r="V25" s="11"/>
      <c r="W25" s="11"/>
      <c r="X25" s="11"/>
      <c r="Y25" s="11"/>
      <c r="Z25" s="11"/>
      <c r="AA25" s="11"/>
      <c r="AB25" s="11"/>
      <c r="AC25" s="11"/>
      <c r="AD25" s="11"/>
      <c r="AE25" s="11"/>
      <c r="AF25" s="11"/>
      <c r="AG25" s="11"/>
      <c r="AH25" s="11"/>
    </row>
    <row r="26" spans="1:34" x14ac:dyDescent="0.3">
      <c r="A26" s="11"/>
      <c r="B26" s="11"/>
      <c r="C26" s="11"/>
      <c r="D26" s="11"/>
      <c r="E26" s="11"/>
      <c r="F26" s="11"/>
      <c r="G26" s="11"/>
      <c r="H26" s="11"/>
      <c r="I26" s="11"/>
      <c r="J26" s="11"/>
      <c r="K26" s="11"/>
      <c r="L26" s="11"/>
      <c r="M26" s="11"/>
      <c r="N26" s="11"/>
      <c r="O26" s="11"/>
      <c r="P26" s="11"/>
      <c r="Q26" s="11"/>
      <c r="R26" s="11"/>
      <c r="S26" s="11"/>
      <c r="T26" s="11"/>
      <c r="U26" s="11"/>
      <c r="V26" s="11"/>
      <c r="W26" s="11"/>
      <c r="X26" s="11"/>
      <c r="Y26" s="11"/>
      <c r="Z26" s="11"/>
      <c r="AA26" s="11"/>
      <c r="AB26" s="11"/>
      <c r="AC26" s="11"/>
      <c r="AD26" s="11"/>
      <c r="AE26" s="11"/>
      <c r="AF26" s="11"/>
      <c r="AG26" s="11"/>
      <c r="AH26" s="11"/>
    </row>
    <row r="27" spans="1:34" x14ac:dyDescent="0.3">
      <c r="A27" s="11"/>
      <c r="B27" s="11"/>
      <c r="C27" s="11"/>
      <c r="D27" s="11"/>
      <c r="E27" s="11"/>
      <c r="F27" s="11"/>
      <c r="G27" s="11"/>
      <c r="H27" s="11"/>
      <c r="I27" s="11"/>
      <c r="J27" s="11"/>
      <c r="K27" s="11"/>
      <c r="L27" s="11"/>
      <c r="M27" s="11"/>
      <c r="N27" s="11"/>
      <c r="O27" s="11"/>
      <c r="P27" s="11"/>
      <c r="Q27" s="11"/>
      <c r="R27" s="11"/>
      <c r="S27" s="11"/>
      <c r="T27" s="11"/>
      <c r="U27" s="11"/>
      <c r="V27" s="11"/>
      <c r="W27" s="11"/>
      <c r="X27" s="11"/>
      <c r="Y27" s="11"/>
      <c r="Z27" s="11"/>
      <c r="AA27" s="11"/>
      <c r="AB27" s="11"/>
      <c r="AC27" s="11"/>
      <c r="AD27" s="11"/>
      <c r="AE27" s="11"/>
      <c r="AF27" s="11"/>
      <c r="AG27" s="11"/>
      <c r="AH27" s="11"/>
    </row>
    <row r="28" spans="1:34" x14ac:dyDescent="0.3">
      <c r="A28" s="11"/>
      <c r="B28" s="11"/>
      <c r="C28" s="11"/>
      <c r="D28" s="11"/>
      <c r="E28" s="11"/>
      <c r="F28" s="11"/>
      <c r="G28" s="11"/>
      <c r="H28" s="11"/>
      <c r="I28" s="11"/>
      <c r="J28" s="11"/>
      <c r="K28" s="11"/>
      <c r="L28" s="11"/>
      <c r="M28" s="11"/>
      <c r="N28" s="11"/>
      <c r="O28" s="11"/>
      <c r="P28" s="11"/>
      <c r="Q28" s="11"/>
      <c r="R28" s="11"/>
      <c r="S28" s="11"/>
      <c r="T28" s="11"/>
      <c r="U28" s="11"/>
      <c r="V28" s="11"/>
      <c r="W28" s="11"/>
      <c r="X28" s="11"/>
      <c r="Y28" s="11"/>
      <c r="Z28" s="11"/>
      <c r="AA28" s="11"/>
      <c r="AB28" s="11"/>
      <c r="AC28" s="11"/>
      <c r="AD28" s="11"/>
      <c r="AE28" s="11"/>
      <c r="AF28" s="11"/>
      <c r="AG28" s="11"/>
      <c r="AH28" s="11"/>
    </row>
    <row r="29" spans="1:34" x14ac:dyDescent="0.3">
      <c r="A29" s="11"/>
      <c r="B29" s="11"/>
      <c r="C29" s="11"/>
      <c r="D29" s="11"/>
      <c r="E29" s="11"/>
      <c r="F29" s="11"/>
      <c r="G29" s="11"/>
      <c r="H29" s="11"/>
      <c r="I29" s="11"/>
      <c r="J29" s="11"/>
      <c r="K29" s="11"/>
      <c r="L29" s="11"/>
      <c r="M29" s="11"/>
      <c r="N29" s="11"/>
      <c r="O29" s="11"/>
      <c r="P29" s="11"/>
      <c r="Q29" s="11"/>
      <c r="R29" s="11"/>
      <c r="S29" s="11"/>
      <c r="T29" s="11"/>
      <c r="U29" s="11"/>
      <c r="V29" s="11"/>
      <c r="W29" s="11"/>
      <c r="X29" s="11"/>
      <c r="Y29" s="11"/>
      <c r="Z29" s="11"/>
      <c r="AA29" s="11"/>
      <c r="AB29" s="11"/>
      <c r="AC29" s="11"/>
      <c r="AD29" s="11"/>
      <c r="AE29" s="11"/>
      <c r="AF29" s="11"/>
      <c r="AG29" s="11"/>
      <c r="AH29" s="11"/>
    </row>
    <row r="30" spans="1:34" x14ac:dyDescent="0.3">
      <c r="A30" s="11"/>
      <c r="B30" s="11"/>
      <c r="C30" s="11"/>
      <c r="D30" s="11"/>
      <c r="E30" s="11"/>
      <c r="F30" s="11"/>
      <c r="G30" s="11"/>
      <c r="H30" s="11"/>
      <c r="I30" s="11"/>
      <c r="J30" s="11"/>
      <c r="K30" s="11"/>
      <c r="L30" s="11"/>
      <c r="M30" s="11"/>
      <c r="N30" s="11"/>
      <c r="O30" s="11"/>
      <c r="P30" s="11"/>
      <c r="Q30" s="11"/>
      <c r="R30" s="11"/>
      <c r="S30" s="11"/>
      <c r="T30" s="11"/>
      <c r="U30" s="11"/>
      <c r="V30" s="11"/>
      <c r="W30" s="11"/>
      <c r="X30" s="11"/>
      <c r="Y30" s="11"/>
      <c r="Z30" s="11"/>
      <c r="AA30" s="11"/>
      <c r="AB30" s="11"/>
      <c r="AC30" s="11"/>
      <c r="AD30" s="11"/>
      <c r="AE30" s="11"/>
      <c r="AF30" s="11"/>
      <c r="AG30" s="11"/>
      <c r="AH30" s="11"/>
    </row>
    <row r="31" spans="1:34" x14ac:dyDescent="0.3">
      <c r="A31" s="11"/>
      <c r="B31" s="11"/>
      <c r="C31" s="11"/>
      <c r="D31" s="11"/>
      <c r="E31" s="11"/>
      <c r="F31" s="11"/>
      <c r="G31" s="11"/>
      <c r="H31" s="11"/>
      <c r="I31" s="11"/>
      <c r="J31" s="11"/>
      <c r="K31" s="11"/>
      <c r="L31" s="11"/>
      <c r="M31" s="11"/>
      <c r="N31" s="11"/>
      <c r="O31" s="11"/>
      <c r="P31" s="11"/>
      <c r="Q31" s="11"/>
      <c r="R31" s="11"/>
      <c r="S31" s="11"/>
      <c r="T31" s="11"/>
      <c r="U31" s="11"/>
      <c r="V31" s="11"/>
      <c r="W31" s="11"/>
      <c r="X31" s="11"/>
      <c r="Y31" s="11"/>
      <c r="Z31" s="11"/>
      <c r="AA31" s="11"/>
      <c r="AB31" s="11"/>
      <c r="AC31" s="11"/>
      <c r="AD31" s="11"/>
      <c r="AE31" s="11"/>
      <c r="AF31" s="11"/>
      <c r="AG31" s="11"/>
      <c r="AH31" s="11"/>
    </row>
    <row r="32" spans="1:34" x14ac:dyDescent="0.3">
      <c r="A32" s="11"/>
      <c r="B32" s="11"/>
      <c r="C32" s="11"/>
      <c r="D32" s="11"/>
      <c r="E32" s="11"/>
      <c r="F32" s="11"/>
      <c r="G32" s="11"/>
      <c r="H32" s="11"/>
      <c r="I32" s="11"/>
      <c r="J32" s="11"/>
      <c r="K32" s="11"/>
      <c r="L32" s="11"/>
      <c r="M32" s="11"/>
      <c r="N32" s="11"/>
      <c r="O32" s="11"/>
      <c r="P32" s="11"/>
      <c r="Q32" s="11"/>
      <c r="R32" s="11"/>
      <c r="S32" s="11"/>
      <c r="T32" s="11"/>
      <c r="U32" s="11"/>
      <c r="V32" s="11"/>
      <c r="W32" s="11"/>
      <c r="X32" s="11"/>
      <c r="Y32" s="11"/>
      <c r="Z32" s="11"/>
      <c r="AA32" s="11"/>
      <c r="AB32" s="11"/>
      <c r="AC32" s="11"/>
      <c r="AD32" s="11"/>
      <c r="AE32" s="11"/>
      <c r="AF32" s="11"/>
      <c r="AG32" s="11"/>
      <c r="AH32" s="11"/>
    </row>
    <row r="33" spans="1:34" x14ac:dyDescent="0.3">
      <c r="A33" s="11"/>
      <c r="B33" s="11"/>
      <c r="C33" s="11"/>
      <c r="D33" s="11"/>
      <c r="E33" s="11"/>
      <c r="F33" s="11"/>
      <c r="G33" s="11"/>
      <c r="H33" s="11"/>
      <c r="I33" s="11"/>
      <c r="J33" s="11"/>
      <c r="K33" s="11"/>
      <c r="L33" s="11"/>
      <c r="M33" s="11"/>
      <c r="N33" s="11"/>
      <c r="O33" s="11"/>
      <c r="P33" s="11"/>
      <c r="Q33" s="11"/>
      <c r="R33" s="11"/>
      <c r="S33" s="11"/>
      <c r="T33" s="11"/>
      <c r="U33" s="11"/>
      <c r="V33" s="11"/>
      <c r="W33" s="11"/>
      <c r="X33" s="11"/>
      <c r="Y33" s="11"/>
      <c r="Z33" s="11"/>
      <c r="AA33" s="11"/>
      <c r="AB33" s="11"/>
      <c r="AC33" s="11"/>
      <c r="AD33" s="11"/>
      <c r="AE33" s="11"/>
      <c r="AF33" s="11"/>
      <c r="AG33" s="11"/>
      <c r="AH33" s="11"/>
    </row>
    <row r="34" spans="1:34" x14ac:dyDescent="0.3">
      <c r="A34" s="11"/>
      <c r="B34" s="11"/>
      <c r="C34" s="11"/>
      <c r="D34" s="11"/>
      <c r="E34" s="11"/>
      <c r="F34" s="11"/>
      <c r="G34" s="11"/>
      <c r="H34" s="11"/>
      <c r="I34" s="11"/>
      <c r="J34" s="11"/>
      <c r="K34" s="11"/>
      <c r="L34" s="11"/>
      <c r="M34" s="11"/>
      <c r="N34" s="11"/>
      <c r="O34" s="11"/>
      <c r="P34" s="11"/>
      <c r="Q34" s="11"/>
      <c r="R34" s="11"/>
      <c r="S34" s="11"/>
      <c r="T34" s="11"/>
      <c r="U34" s="11"/>
      <c r="V34" s="11"/>
      <c r="W34" s="11"/>
      <c r="X34" s="11"/>
      <c r="Y34" s="11"/>
      <c r="Z34" s="11"/>
      <c r="AA34" s="11"/>
      <c r="AB34" s="11"/>
      <c r="AC34" s="11"/>
      <c r="AD34" s="11"/>
      <c r="AE34" s="11"/>
      <c r="AF34" s="11"/>
      <c r="AG34" s="11"/>
      <c r="AH34" s="11"/>
    </row>
    <row r="35" spans="1:34" x14ac:dyDescent="0.3">
      <c r="A35" s="11"/>
      <c r="B35" s="11"/>
      <c r="C35" s="11"/>
      <c r="D35" s="11"/>
      <c r="E35" s="11"/>
      <c r="F35" s="11"/>
      <c r="G35" s="11"/>
      <c r="H35" s="11"/>
      <c r="I35" s="11"/>
      <c r="J35" s="11"/>
      <c r="K35" s="11"/>
      <c r="L35" s="11"/>
      <c r="M35" s="11"/>
      <c r="N35" s="11"/>
      <c r="O35" s="11"/>
      <c r="P35" s="11"/>
      <c r="Q35" s="11"/>
      <c r="R35" s="11"/>
      <c r="S35" s="11"/>
      <c r="T35" s="11"/>
      <c r="U35" s="11"/>
      <c r="V35" s="11"/>
      <c r="W35" s="11"/>
      <c r="X35" s="11"/>
      <c r="Y35" s="11"/>
      <c r="Z35" s="11"/>
      <c r="AA35" s="11"/>
      <c r="AB35" s="11"/>
      <c r="AC35" s="11"/>
      <c r="AD35" s="11"/>
      <c r="AE35" s="11"/>
      <c r="AF35" s="11"/>
      <c r="AG35" s="11"/>
      <c r="AH35" s="11"/>
    </row>
    <row r="36" spans="1:34" x14ac:dyDescent="0.3">
      <c r="A36" s="11"/>
      <c r="B36" s="11"/>
      <c r="C36" s="11"/>
      <c r="D36" s="11"/>
      <c r="E36" s="11"/>
      <c r="F36" s="11"/>
      <c r="G36" s="11"/>
      <c r="H36" s="11"/>
      <c r="I36" s="11"/>
      <c r="J36" s="11"/>
      <c r="K36" s="11"/>
      <c r="L36" s="11"/>
      <c r="M36" s="11"/>
      <c r="N36" s="11"/>
      <c r="O36" s="11"/>
      <c r="P36" s="11"/>
      <c r="Q36" s="11"/>
      <c r="R36" s="11"/>
      <c r="S36" s="11"/>
      <c r="T36" s="11"/>
      <c r="U36" s="11"/>
      <c r="V36" s="11"/>
      <c r="W36" s="11"/>
      <c r="X36" s="11"/>
      <c r="Y36" s="11"/>
      <c r="Z36" s="11"/>
      <c r="AA36" s="11"/>
      <c r="AB36" s="11"/>
      <c r="AC36" s="11"/>
      <c r="AD36" s="11"/>
      <c r="AE36" s="11"/>
      <c r="AF36" s="11"/>
      <c r="AG36" s="11"/>
      <c r="AH36" s="11"/>
    </row>
    <row r="37" spans="1:34" x14ac:dyDescent="0.3">
      <c r="A37" s="11"/>
      <c r="B37" s="11"/>
      <c r="C37" s="11"/>
      <c r="D37" s="11"/>
      <c r="E37" s="11"/>
      <c r="F37" s="11"/>
      <c r="G37" s="11"/>
      <c r="H37" s="11"/>
      <c r="I37" s="11"/>
      <c r="J37" s="11"/>
      <c r="K37" s="11"/>
      <c r="L37" s="11"/>
      <c r="M37" s="11"/>
      <c r="N37" s="11"/>
      <c r="O37" s="11"/>
      <c r="P37" s="11"/>
      <c r="Q37" s="11"/>
      <c r="R37" s="11"/>
      <c r="S37" s="11"/>
      <c r="T37" s="11"/>
      <c r="U37" s="11"/>
      <c r="V37" s="11"/>
      <c r="W37" s="11"/>
      <c r="X37" s="11"/>
      <c r="Y37" s="11"/>
      <c r="Z37" s="11"/>
      <c r="AA37" s="11"/>
      <c r="AB37" s="11"/>
      <c r="AC37" s="11"/>
      <c r="AD37" s="11"/>
      <c r="AE37" s="11"/>
      <c r="AF37" s="11"/>
      <c r="AG37" s="11"/>
      <c r="AH37" s="11"/>
    </row>
    <row r="38" spans="1:34" x14ac:dyDescent="0.3">
      <c r="A38" s="11"/>
      <c r="B38" s="11"/>
      <c r="C38" s="11"/>
      <c r="D38" s="11"/>
      <c r="E38" s="11"/>
      <c r="F38" s="11"/>
      <c r="G38" s="11"/>
      <c r="H38" s="11"/>
      <c r="I38" s="11"/>
      <c r="J38" s="11"/>
      <c r="K38" s="11"/>
      <c r="L38" s="11"/>
      <c r="M38" s="11"/>
      <c r="N38" s="11"/>
      <c r="O38" s="11"/>
      <c r="P38" s="11"/>
      <c r="Q38" s="11"/>
      <c r="R38" s="11"/>
      <c r="S38" s="11"/>
      <c r="T38" s="11"/>
      <c r="U38" s="11"/>
      <c r="V38" s="11"/>
      <c r="W38" s="11"/>
      <c r="X38" s="11"/>
      <c r="Y38" s="11"/>
      <c r="Z38" s="11"/>
      <c r="AA38" s="11"/>
      <c r="AB38" s="11"/>
      <c r="AC38" s="11"/>
      <c r="AD38" s="11"/>
      <c r="AE38" s="11"/>
      <c r="AF38" s="11"/>
      <c r="AG38" s="11"/>
      <c r="AH38" s="11"/>
    </row>
    <row r="39" spans="1:34" x14ac:dyDescent="0.3">
      <c r="A39" s="11"/>
      <c r="B39" s="11"/>
      <c r="C39" s="11"/>
      <c r="D39" s="11"/>
      <c r="E39" s="11"/>
      <c r="F39" s="11"/>
      <c r="G39" s="11"/>
      <c r="H39" s="11"/>
      <c r="I39" s="11"/>
      <c r="J39" s="11"/>
      <c r="K39" s="11"/>
      <c r="L39" s="11"/>
      <c r="M39" s="11"/>
      <c r="N39" s="11"/>
      <c r="O39" s="11"/>
      <c r="P39" s="11"/>
      <c r="Q39" s="11"/>
      <c r="R39" s="11"/>
      <c r="S39" s="11"/>
      <c r="T39" s="11"/>
      <c r="U39" s="11"/>
      <c r="V39" s="11"/>
      <c r="W39" s="11"/>
      <c r="X39" s="11"/>
      <c r="Y39" s="11"/>
      <c r="Z39" s="11"/>
      <c r="AA39" s="11"/>
      <c r="AB39" s="11"/>
      <c r="AC39" s="11"/>
      <c r="AD39" s="11"/>
      <c r="AE39" s="11"/>
      <c r="AF39" s="11"/>
      <c r="AG39" s="11"/>
      <c r="AH39" s="11"/>
    </row>
    <row r="40" spans="1:34" x14ac:dyDescent="0.3">
      <c r="A40" s="11"/>
      <c r="B40" s="11"/>
      <c r="C40" s="11"/>
      <c r="D40" s="11"/>
      <c r="E40" s="11"/>
      <c r="F40" s="11"/>
      <c r="G40" s="11"/>
      <c r="H40" s="11"/>
      <c r="I40" s="11"/>
      <c r="J40" s="11"/>
      <c r="K40" s="11"/>
      <c r="L40" s="11"/>
      <c r="M40" s="11"/>
      <c r="N40" s="11"/>
      <c r="O40" s="11"/>
      <c r="P40" s="11"/>
      <c r="Q40" s="11"/>
      <c r="R40" s="11"/>
      <c r="S40" s="11"/>
      <c r="T40" s="11"/>
      <c r="U40" s="11"/>
      <c r="V40" s="11"/>
      <c r="W40" s="11"/>
      <c r="X40" s="11"/>
      <c r="Y40" s="11"/>
      <c r="Z40" s="11"/>
      <c r="AA40" s="11"/>
      <c r="AB40" s="11"/>
      <c r="AC40" s="11"/>
      <c r="AD40" s="11"/>
      <c r="AE40" s="11"/>
      <c r="AF40" s="11"/>
      <c r="AG40" s="11"/>
      <c r="AH40" s="11"/>
    </row>
    <row r="41" spans="1:34" x14ac:dyDescent="0.3">
      <c r="A41" s="11"/>
      <c r="B41" s="11"/>
      <c r="C41" s="11"/>
      <c r="D41" s="11"/>
      <c r="E41" s="11"/>
      <c r="F41" s="11"/>
      <c r="G41" s="11"/>
      <c r="H41" s="11"/>
      <c r="I41" s="11"/>
      <c r="J41" s="11"/>
      <c r="K41" s="11"/>
      <c r="L41" s="11"/>
      <c r="M41" s="11"/>
      <c r="N41" s="11"/>
      <c r="O41" s="11"/>
      <c r="P41" s="11"/>
      <c r="Q41" s="11"/>
      <c r="R41" s="11"/>
      <c r="S41" s="11"/>
      <c r="T41" s="11"/>
      <c r="U41" s="11"/>
      <c r="V41" s="11"/>
      <c r="W41" s="11"/>
      <c r="X41" s="11"/>
      <c r="Y41" s="11"/>
      <c r="Z41" s="11"/>
      <c r="AA41" s="11"/>
      <c r="AB41" s="11"/>
      <c r="AC41" s="11"/>
      <c r="AD41" s="11"/>
      <c r="AE41" s="11"/>
      <c r="AF41" s="11"/>
      <c r="AG41" s="11"/>
      <c r="AH41" s="11"/>
    </row>
    <row r="42" spans="1:34" x14ac:dyDescent="0.3">
      <c r="A42" s="11"/>
      <c r="B42" s="11"/>
      <c r="C42" s="11"/>
      <c r="D42" s="11"/>
      <c r="E42" s="11"/>
      <c r="F42" s="11"/>
      <c r="G42" s="11"/>
      <c r="H42" s="11"/>
      <c r="I42" s="11"/>
      <c r="J42" s="11"/>
      <c r="K42" s="11"/>
      <c r="L42" s="11"/>
      <c r="M42" s="11"/>
      <c r="N42" s="11"/>
      <c r="O42" s="11"/>
      <c r="P42" s="11"/>
      <c r="Q42" s="11"/>
      <c r="R42" s="11"/>
      <c r="S42" s="11"/>
      <c r="T42" s="11"/>
      <c r="U42" s="11"/>
      <c r="V42" s="11"/>
      <c r="W42" s="11"/>
      <c r="X42" s="11"/>
      <c r="Y42" s="11"/>
      <c r="Z42" s="11"/>
      <c r="AA42" s="11"/>
      <c r="AB42" s="11"/>
      <c r="AC42" s="11"/>
      <c r="AD42" s="11"/>
      <c r="AE42" s="11"/>
      <c r="AF42" s="11"/>
      <c r="AG42" s="11"/>
      <c r="AH42" s="11"/>
    </row>
    <row r="43" spans="1:34" x14ac:dyDescent="0.3">
      <c r="A43" s="11"/>
      <c r="B43" s="11"/>
      <c r="C43" s="11"/>
      <c r="D43" s="11"/>
      <c r="E43" s="11"/>
      <c r="F43" s="11"/>
      <c r="G43" s="11"/>
      <c r="H43" s="11"/>
      <c r="I43" s="11"/>
      <c r="J43" s="11"/>
      <c r="K43" s="11"/>
      <c r="L43" s="11"/>
      <c r="M43" s="11"/>
      <c r="N43" s="11"/>
      <c r="O43" s="11"/>
      <c r="P43" s="11"/>
      <c r="Q43" s="11"/>
      <c r="R43" s="11"/>
      <c r="S43" s="11"/>
      <c r="T43" s="11"/>
      <c r="U43" s="11"/>
      <c r="V43" s="11"/>
      <c r="W43" s="11"/>
      <c r="X43" s="11"/>
      <c r="Y43" s="11"/>
      <c r="Z43" s="11"/>
      <c r="AA43" s="11"/>
      <c r="AB43" s="11"/>
      <c r="AC43" s="11"/>
      <c r="AD43" s="11"/>
      <c r="AE43" s="11"/>
      <c r="AF43" s="11"/>
      <c r="AG43" s="11"/>
      <c r="AH43" s="11"/>
    </row>
    <row r="44" spans="1:34" x14ac:dyDescent="0.3">
      <c r="A44" s="11"/>
      <c r="B44" s="11"/>
      <c r="C44" s="11"/>
      <c r="D44" s="11"/>
      <c r="E44" s="11"/>
      <c r="F44" s="11"/>
      <c r="G44" s="11"/>
      <c r="H44" s="11"/>
      <c r="I44" s="11"/>
      <c r="J44" s="11"/>
      <c r="K44" s="11"/>
      <c r="L44" s="11"/>
      <c r="M44" s="11"/>
      <c r="N44" s="11"/>
      <c r="O44" s="11"/>
      <c r="P44" s="11"/>
      <c r="Q44" s="11"/>
      <c r="R44" s="11"/>
      <c r="S44" s="11"/>
      <c r="T44" s="11"/>
      <c r="U44" s="11"/>
      <c r="V44" s="11"/>
      <c r="W44" s="11"/>
      <c r="X44" s="11"/>
      <c r="Y44" s="11"/>
      <c r="Z44" s="11"/>
      <c r="AA44" s="11"/>
      <c r="AB44" s="11"/>
      <c r="AC44" s="11"/>
      <c r="AD44" s="11"/>
      <c r="AE44" s="11"/>
      <c r="AF44" s="11"/>
      <c r="AG44" s="11"/>
      <c r="AH44" s="11"/>
    </row>
    <row r="45" spans="1:34" x14ac:dyDescent="0.3">
      <c r="A45" s="11"/>
      <c r="B45" s="11"/>
      <c r="C45" s="11"/>
      <c r="D45" s="11"/>
      <c r="E45" s="11"/>
      <c r="F45" s="11"/>
      <c r="G45" s="11"/>
      <c r="H45" s="11"/>
      <c r="I45" s="11"/>
      <c r="J45" s="11"/>
      <c r="K45" s="11"/>
      <c r="L45" s="11"/>
      <c r="M45" s="11"/>
      <c r="N45" s="11"/>
      <c r="O45" s="11"/>
      <c r="P45" s="11"/>
      <c r="Q45" s="11"/>
      <c r="R45" s="11"/>
      <c r="S45" s="11"/>
      <c r="T45" s="11"/>
      <c r="U45" s="11"/>
      <c r="V45" s="11"/>
      <c r="W45" s="11"/>
      <c r="X45" s="11"/>
      <c r="Y45" s="11"/>
      <c r="Z45" s="11"/>
      <c r="AA45" s="11"/>
      <c r="AB45" s="11"/>
      <c r="AC45" s="11"/>
      <c r="AD45" s="11"/>
      <c r="AE45" s="11"/>
      <c r="AF45" s="11"/>
      <c r="AG45" s="11"/>
      <c r="AH45" s="11"/>
    </row>
    <row r="46" spans="1:34" x14ac:dyDescent="0.3">
      <c r="A46" s="11"/>
      <c r="B46" s="11"/>
      <c r="C46" s="11"/>
      <c r="D46" s="11"/>
      <c r="E46" s="11"/>
      <c r="F46" s="11"/>
      <c r="G46" s="11"/>
      <c r="H46" s="11"/>
      <c r="I46" s="11"/>
      <c r="J46" s="11"/>
      <c r="K46" s="11"/>
      <c r="L46" s="11"/>
      <c r="M46" s="11"/>
      <c r="N46" s="11"/>
      <c r="O46" s="11"/>
      <c r="P46" s="11"/>
      <c r="Q46" s="11"/>
      <c r="R46" s="11"/>
      <c r="S46" s="11"/>
      <c r="T46" s="11"/>
      <c r="U46" s="11"/>
      <c r="V46" s="11"/>
      <c r="W46" s="11"/>
      <c r="X46" s="11"/>
      <c r="Y46" s="11"/>
      <c r="Z46" s="11"/>
      <c r="AA46" s="11"/>
      <c r="AB46" s="11"/>
      <c r="AC46" s="11"/>
      <c r="AD46" s="11"/>
      <c r="AE46" s="11"/>
      <c r="AF46" s="11"/>
      <c r="AG46" s="11"/>
      <c r="AH46" s="11"/>
    </row>
    <row r="47" spans="1:34" x14ac:dyDescent="0.3">
      <c r="A47" s="11"/>
      <c r="B47" s="11"/>
      <c r="C47" s="11"/>
      <c r="D47" s="11"/>
      <c r="E47" s="11"/>
      <c r="F47" s="11"/>
      <c r="G47" s="11"/>
      <c r="H47" s="11"/>
      <c r="I47" s="11"/>
      <c r="J47" s="11"/>
      <c r="K47" s="11"/>
      <c r="L47" s="11"/>
      <c r="M47" s="11"/>
      <c r="N47" s="11"/>
      <c r="O47" s="11"/>
      <c r="P47" s="11"/>
      <c r="Q47" s="11"/>
      <c r="R47" s="11"/>
      <c r="S47" s="11"/>
      <c r="T47" s="11"/>
      <c r="U47" s="11"/>
      <c r="V47" s="11"/>
      <c r="W47" s="11"/>
      <c r="X47" s="11"/>
      <c r="Y47" s="11"/>
      <c r="Z47" s="11"/>
      <c r="AA47" s="11"/>
      <c r="AB47" s="11"/>
      <c r="AC47" s="11"/>
      <c r="AD47" s="11"/>
      <c r="AE47" s="11"/>
      <c r="AF47" s="11"/>
      <c r="AG47" s="11"/>
      <c r="AH47" s="11"/>
    </row>
    <row r="48" spans="1:34" x14ac:dyDescent="0.3">
      <c r="A48" s="11"/>
      <c r="B48" s="11"/>
      <c r="C48" s="11"/>
      <c r="D48" s="11"/>
      <c r="E48" s="11"/>
      <c r="F48" s="11"/>
      <c r="G48" s="11"/>
      <c r="H48" s="11"/>
      <c r="I48" s="11"/>
      <c r="J48" s="11"/>
      <c r="K48" s="11"/>
      <c r="L48" s="11"/>
      <c r="M48" s="11"/>
      <c r="N48" s="11"/>
      <c r="O48" s="11"/>
      <c r="P48" s="11"/>
      <c r="Q48" s="11"/>
      <c r="R48" s="11"/>
      <c r="S48" s="11"/>
      <c r="T48" s="11"/>
      <c r="U48" s="11"/>
      <c r="V48" s="11"/>
      <c r="W48" s="11"/>
      <c r="X48" s="11"/>
      <c r="Y48" s="11"/>
      <c r="Z48" s="11"/>
      <c r="AA48" s="11"/>
      <c r="AB48" s="11"/>
      <c r="AC48" s="11"/>
      <c r="AD48" s="11"/>
      <c r="AE48" s="11"/>
      <c r="AF48" s="11"/>
      <c r="AG48" s="11"/>
      <c r="AH48" s="11"/>
    </row>
    <row r="49" spans="1:34" x14ac:dyDescent="0.3">
      <c r="A49" s="11"/>
      <c r="B49" s="11"/>
      <c r="C49" s="11"/>
      <c r="D49" s="11"/>
      <c r="E49" s="11"/>
      <c r="F49" s="11"/>
      <c r="G49" s="11"/>
      <c r="H49" s="11"/>
      <c r="I49" s="11"/>
      <c r="J49" s="11"/>
      <c r="K49" s="11"/>
      <c r="L49" s="11"/>
      <c r="M49" s="11"/>
      <c r="N49" s="11"/>
      <c r="O49" s="11"/>
      <c r="P49" s="11"/>
      <c r="Q49" s="11"/>
      <c r="R49" s="11"/>
      <c r="S49" s="11"/>
      <c r="T49" s="11"/>
      <c r="U49" s="11"/>
      <c r="V49" s="11"/>
      <c r="W49" s="11"/>
      <c r="X49" s="11"/>
      <c r="Y49" s="11"/>
      <c r="Z49" s="11"/>
      <c r="AA49" s="11"/>
      <c r="AB49" s="11"/>
      <c r="AC49" s="11"/>
      <c r="AD49" s="11"/>
      <c r="AE49" s="11"/>
      <c r="AF49" s="11"/>
      <c r="AG49" s="11"/>
      <c r="AH49" s="11"/>
    </row>
    <row r="50" spans="1:34" x14ac:dyDescent="0.3">
      <c r="A50" s="11"/>
      <c r="B50" s="11"/>
      <c r="C50" s="11"/>
      <c r="D50" s="11"/>
      <c r="E50" s="11"/>
      <c r="F50" s="11"/>
      <c r="G50" s="11"/>
      <c r="H50" s="11"/>
      <c r="I50" s="11"/>
      <c r="J50" s="11"/>
      <c r="K50" s="11"/>
      <c r="L50" s="11"/>
      <c r="M50" s="11"/>
      <c r="N50" s="11"/>
      <c r="O50" s="11"/>
      <c r="P50" s="11"/>
      <c r="Q50" s="11"/>
      <c r="R50" s="11"/>
      <c r="S50" s="11"/>
      <c r="T50" s="11"/>
      <c r="U50" s="11"/>
      <c r="V50" s="11"/>
      <c r="W50" s="11"/>
      <c r="X50" s="11"/>
      <c r="Y50" s="11"/>
      <c r="Z50" s="11"/>
      <c r="AA50" s="11"/>
      <c r="AB50" s="11"/>
      <c r="AC50" s="11"/>
      <c r="AD50" s="11"/>
      <c r="AE50" s="11"/>
      <c r="AF50" s="11"/>
      <c r="AG50" s="11"/>
      <c r="AH50" s="11"/>
    </row>
    <row r="51" spans="1:34" x14ac:dyDescent="0.3">
      <c r="A51" s="11"/>
      <c r="B51" s="11"/>
      <c r="C51" s="11"/>
      <c r="D51" s="11"/>
      <c r="E51" s="11"/>
      <c r="F51" s="11"/>
      <c r="G51" s="11"/>
      <c r="H51" s="11"/>
      <c r="I51" s="11"/>
      <c r="J51" s="11"/>
      <c r="K51" s="11"/>
      <c r="L51" s="11"/>
      <c r="M51" s="11"/>
      <c r="N51" s="11"/>
      <c r="O51" s="11"/>
      <c r="P51" s="11"/>
      <c r="Q51" s="11"/>
      <c r="R51" s="11"/>
      <c r="S51" s="11"/>
      <c r="T51" s="11"/>
      <c r="U51" s="11"/>
      <c r="V51" s="11"/>
      <c r="W51" s="11"/>
      <c r="X51" s="11"/>
      <c r="Y51" s="11"/>
      <c r="Z51" s="11"/>
      <c r="AA51" s="11"/>
      <c r="AB51" s="11"/>
      <c r="AC51" s="11"/>
      <c r="AD51" s="11"/>
      <c r="AE51" s="11"/>
      <c r="AF51" s="11"/>
      <c r="AG51" s="11"/>
      <c r="AH51" s="11"/>
    </row>
    <row r="52" spans="1:34" x14ac:dyDescent="0.3">
      <c r="A52" s="11"/>
      <c r="B52" s="11"/>
      <c r="C52" s="11"/>
      <c r="D52" s="11"/>
      <c r="E52" s="11"/>
      <c r="F52" s="11"/>
      <c r="G52" s="11"/>
      <c r="H52" s="11"/>
      <c r="I52" s="11"/>
      <c r="J52" s="11"/>
      <c r="K52" s="11"/>
      <c r="L52" s="11"/>
      <c r="M52" s="11"/>
      <c r="N52" s="11"/>
      <c r="O52" s="11"/>
      <c r="P52" s="11"/>
      <c r="Q52" s="11"/>
      <c r="R52" s="11"/>
      <c r="S52" s="11"/>
      <c r="T52" s="11"/>
      <c r="U52" s="11"/>
      <c r="V52" s="11"/>
      <c r="W52" s="11"/>
      <c r="X52" s="11"/>
      <c r="Y52" s="11"/>
      <c r="Z52" s="11"/>
      <c r="AA52" s="11"/>
      <c r="AB52" s="11"/>
      <c r="AC52" s="11"/>
      <c r="AD52" s="11"/>
      <c r="AE52" s="11"/>
      <c r="AF52" s="11"/>
      <c r="AG52" s="11"/>
      <c r="AH52" s="11"/>
    </row>
    <row r="53" spans="1:34" x14ac:dyDescent="0.3">
      <c r="A53" s="11"/>
      <c r="B53" s="11"/>
      <c r="C53" s="11"/>
      <c r="D53" s="11"/>
      <c r="E53" s="11"/>
      <c r="F53" s="11"/>
      <c r="G53" s="11"/>
      <c r="H53" s="11"/>
      <c r="I53" s="11"/>
      <c r="J53" s="11"/>
      <c r="K53" s="11"/>
      <c r="L53" s="11"/>
      <c r="M53" s="11"/>
      <c r="N53" s="11"/>
      <c r="O53" s="11"/>
      <c r="P53" s="11"/>
      <c r="Q53" s="11"/>
      <c r="R53" s="11"/>
      <c r="S53" s="11"/>
      <c r="T53" s="11"/>
      <c r="U53" s="11"/>
      <c r="V53" s="11"/>
      <c r="W53" s="11"/>
      <c r="X53" s="11"/>
      <c r="Y53" s="11"/>
      <c r="Z53" s="11"/>
      <c r="AA53" s="11"/>
      <c r="AB53" s="11"/>
      <c r="AC53" s="11"/>
      <c r="AD53" s="11"/>
      <c r="AE53" s="11"/>
      <c r="AF53" s="11"/>
      <c r="AG53" s="11"/>
      <c r="AH53" s="11"/>
    </row>
    <row r="54" spans="1:34" x14ac:dyDescent="0.3">
      <c r="A54" s="11"/>
      <c r="B54" s="11"/>
      <c r="C54" s="11"/>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1"/>
      <c r="AD54" s="11"/>
      <c r="AE54" s="11"/>
      <c r="AF54" s="11"/>
      <c r="AG54" s="11"/>
      <c r="AH54" s="11"/>
    </row>
    <row r="55" spans="1:34" x14ac:dyDescent="0.3">
      <c r="A55" s="11"/>
      <c r="B55" s="11"/>
      <c r="C55" s="11"/>
      <c r="D55" s="11"/>
      <c r="E55" s="11"/>
      <c r="F55" s="11"/>
      <c r="G55" s="11"/>
      <c r="H55" s="11"/>
      <c r="I55" s="11"/>
      <c r="J55" s="11"/>
      <c r="K55" s="11"/>
      <c r="L55" s="11"/>
      <c r="M55" s="11"/>
      <c r="N55" s="11"/>
      <c r="O55" s="11"/>
      <c r="P55" s="11"/>
      <c r="Q55" s="11"/>
      <c r="R55" s="11"/>
      <c r="S55" s="11"/>
      <c r="T55" s="11"/>
      <c r="U55" s="11"/>
      <c r="V55" s="11"/>
      <c r="W55" s="11"/>
      <c r="X55" s="11"/>
      <c r="Y55" s="11"/>
      <c r="Z55" s="11"/>
      <c r="AA55" s="11"/>
      <c r="AB55" s="11"/>
      <c r="AC55" s="11"/>
      <c r="AD55" s="11"/>
      <c r="AE55" s="11"/>
      <c r="AF55" s="11"/>
      <c r="AG55" s="11"/>
      <c r="AH55" s="11"/>
    </row>
    <row r="56" spans="1:34" x14ac:dyDescent="0.3">
      <c r="A56" s="11"/>
      <c r="B56" s="11"/>
      <c r="C56" s="11"/>
      <c r="D56" s="11"/>
      <c r="E56" s="11"/>
      <c r="F56" s="11"/>
      <c r="G56" s="11"/>
      <c r="H56" s="11"/>
      <c r="I56" s="11"/>
      <c r="J56" s="11"/>
      <c r="K56" s="11"/>
      <c r="L56" s="11"/>
      <c r="M56" s="11"/>
      <c r="N56" s="11"/>
      <c r="O56" s="11"/>
      <c r="P56" s="11"/>
      <c r="Q56" s="11"/>
      <c r="R56" s="11"/>
      <c r="S56" s="11"/>
      <c r="T56" s="11"/>
      <c r="U56" s="11"/>
      <c r="V56" s="11"/>
      <c r="W56" s="11"/>
      <c r="X56" s="11"/>
      <c r="Y56" s="11"/>
      <c r="Z56" s="11"/>
      <c r="AA56" s="11"/>
      <c r="AB56" s="11"/>
      <c r="AC56" s="11"/>
      <c r="AD56" s="11"/>
      <c r="AE56" s="11"/>
      <c r="AF56" s="11"/>
      <c r="AG56" s="11"/>
      <c r="AH56" s="11"/>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D7AA8-213A-4231-ACB4-59C6F58432B4}">
  <sheetPr codeName="Sheet3"/>
  <dimension ref="A2:AC31"/>
  <sheetViews>
    <sheetView workbookViewId="0">
      <selection activeCell="E20" sqref="E20"/>
    </sheetView>
  </sheetViews>
  <sheetFormatPr defaultRowHeight="14.4" x14ac:dyDescent="0.3"/>
  <cols>
    <col min="1" max="1" width="11.33203125" customWidth="1"/>
    <col min="2" max="2" width="14.88671875" bestFit="1" customWidth="1"/>
    <col min="3" max="3" width="12.77734375" customWidth="1"/>
    <col min="4" max="4" width="19.5546875" customWidth="1"/>
    <col min="5" max="5" width="14.33203125" bestFit="1" customWidth="1"/>
    <col min="6" max="6" width="13.5546875" bestFit="1" customWidth="1"/>
    <col min="8" max="8" width="15.5546875" bestFit="1" customWidth="1"/>
    <col min="9" max="9" width="9.88671875" bestFit="1" customWidth="1"/>
    <col min="11" max="11" width="14.33203125" bestFit="1" customWidth="1"/>
    <col min="12" max="12" width="20.109375" bestFit="1" customWidth="1"/>
    <col min="14" max="14" width="13.5546875" bestFit="1" customWidth="1"/>
    <col min="15" max="15" width="12.44140625" bestFit="1" customWidth="1"/>
    <col min="16" max="16" width="20.109375" bestFit="1" customWidth="1"/>
    <col min="19" max="19" width="12.44140625" bestFit="1" customWidth="1"/>
    <col min="20" max="20" width="13.5546875" bestFit="1" customWidth="1"/>
    <col min="23" max="23" width="14.5546875" bestFit="1" customWidth="1"/>
    <col min="24" max="24" width="19.5546875" bestFit="1" customWidth="1"/>
    <col min="25" max="25" width="12.77734375" bestFit="1" customWidth="1"/>
    <col min="29" max="29" width="13.5546875" bestFit="1" customWidth="1"/>
  </cols>
  <sheetData>
    <row r="2" spans="1:29" ht="15.6" x14ac:dyDescent="0.3">
      <c r="A2" s="17" t="s">
        <v>328</v>
      </c>
      <c r="B2" s="17"/>
      <c r="C2" s="17"/>
      <c r="D2" s="17"/>
      <c r="G2" s="17" t="s">
        <v>330</v>
      </c>
      <c r="H2" s="17"/>
      <c r="I2" s="17"/>
      <c r="J2" s="17"/>
      <c r="M2" s="17" t="s">
        <v>339</v>
      </c>
      <c r="N2" s="17"/>
      <c r="O2" s="17"/>
      <c r="P2" s="17"/>
    </row>
    <row r="4" spans="1:29" x14ac:dyDescent="0.3">
      <c r="A4" s="5" t="s">
        <v>316</v>
      </c>
      <c r="B4" t="s">
        <v>318</v>
      </c>
      <c r="C4" t="s">
        <v>319</v>
      </c>
      <c r="D4" t="s">
        <v>320</v>
      </c>
      <c r="G4" s="5" t="s">
        <v>318</v>
      </c>
      <c r="H4" s="5" t="s">
        <v>338</v>
      </c>
      <c r="M4" s="5" t="s">
        <v>4</v>
      </c>
      <c r="N4" t="s">
        <v>20</v>
      </c>
      <c r="S4" s="16" t="s">
        <v>349</v>
      </c>
      <c r="T4" s="16"/>
      <c r="W4" s="5" t="s">
        <v>4</v>
      </c>
      <c r="X4" t="s">
        <v>20</v>
      </c>
      <c r="AB4" s="5" t="s">
        <v>4</v>
      </c>
      <c r="AC4" t="s">
        <v>20</v>
      </c>
    </row>
    <row r="5" spans="1:29" x14ac:dyDescent="0.3">
      <c r="A5" s="6" t="s">
        <v>20</v>
      </c>
      <c r="B5" s="14">
        <v>1555495</v>
      </c>
      <c r="C5" s="3">
        <v>1045000</v>
      </c>
      <c r="D5">
        <v>156</v>
      </c>
      <c r="G5" s="5" t="s">
        <v>316</v>
      </c>
      <c r="H5" t="s">
        <v>20</v>
      </c>
      <c r="I5" t="s">
        <v>29</v>
      </c>
    </row>
    <row r="6" spans="1:29" x14ac:dyDescent="0.3">
      <c r="A6" s="6" t="s">
        <v>29</v>
      </c>
      <c r="B6" s="14">
        <v>1550200</v>
      </c>
      <c r="C6" s="3">
        <v>0</v>
      </c>
      <c r="D6">
        <v>44</v>
      </c>
      <c r="G6" s="6" t="s">
        <v>331</v>
      </c>
      <c r="H6" s="3">
        <v>168055</v>
      </c>
      <c r="I6" s="3">
        <v>112300</v>
      </c>
      <c r="M6" s="5" t="s">
        <v>316</v>
      </c>
      <c r="N6" t="s">
        <v>318</v>
      </c>
      <c r="S6" s="5" t="s">
        <v>316</v>
      </c>
      <c r="T6" t="s">
        <v>318</v>
      </c>
      <c r="W6" s="5" t="s">
        <v>316</v>
      </c>
      <c r="X6" t="s">
        <v>350</v>
      </c>
      <c r="Y6" t="s">
        <v>351</v>
      </c>
      <c r="AB6" s="5" t="s">
        <v>316</v>
      </c>
      <c r="AC6" t="s">
        <v>318</v>
      </c>
    </row>
    <row r="7" spans="1:29" x14ac:dyDescent="0.3">
      <c r="A7" s="6" t="s">
        <v>317</v>
      </c>
      <c r="B7" s="14">
        <v>3105695</v>
      </c>
      <c r="C7" s="3">
        <v>1045000</v>
      </c>
      <c r="D7">
        <v>200</v>
      </c>
      <c r="G7" s="6" t="s">
        <v>332</v>
      </c>
      <c r="H7" s="3">
        <v>264242</v>
      </c>
      <c r="I7" s="3">
        <v>335000</v>
      </c>
      <c r="M7" s="6" t="s">
        <v>84</v>
      </c>
      <c r="N7" s="3">
        <v>174343</v>
      </c>
      <c r="S7" s="6" t="s">
        <v>23</v>
      </c>
      <c r="T7" s="3">
        <v>792893</v>
      </c>
      <c r="W7" s="6" t="s">
        <v>84</v>
      </c>
      <c r="X7" s="3">
        <v>174343</v>
      </c>
      <c r="Y7" s="3">
        <v>51000</v>
      </c>
      <c r="AB7" s="6" t="s">
        <v>23</v>
      </c>
      <c r="AC7" s="3">
        <v>201693</v>
      </c>
    </row>
    <row r="8" spans="1:29" x14ac:dyDescent="0.3">
      <c r="G8" s="6" t="s">
        <v>333</v>
      </c>
      <c r="H8" s="3">
        <v>215737</v>
      </c>
      <c r="I8" s="3">
        <v>355000</v>
      </c>
      <c r="M8" s="6" t="s">
        <v>61</v>
      </c>
      <c r="N8" s="3">
        <v>108164</v>
      </c>
      <c r="S8" s="6" t="s">
        <v>32</v>
      </c>
      <c r="T8" s="3">
        <v>539207</v>
      </c>
      <c r="W8" s="6" t="s">
        <v>74</v>
      </c>
      <c r="X8" s="3">
        <v>237102</v>
      </c>
      <c r="Y8" s="3">
        <v>250000</v>
      </c>
      <c r="AB8" s="6" t="s">
        <v>32</v>
      </c>
      <c r="AC8" s="3">
        <v>245907</v>
      </c>
    </row>
    <row r="9" spans="1:29" x14ac:dyDescent="0.3">
      <c r="B9" s="10" t="s">
        <v>321</v>
      </c>
      <c r="C9" s="10" t="s">
        <v>322</v>
      </c>
      <c r="G9" s="6" t="s">
        <v>334</v>
      </c>
      <c r="H9" s="3">
        <v>306245</v>
      </c>
      <c r="I9" s="3">
        <v>186700</v>
      </c>
      <c r="M9" s="6" t="s">
        <v>74</v>
      </c>
      <c r="N9" s="3">
        <v>237102</v>
      </c>
      <c r="S9" s="6" t="s">
        <v>68</v>
      </c>
      <c r="T9" s="3">
        <v>401137</v>
      </c>
      <c r="W9" s="6" t="s">
        <v>21</v>
      </c>
      <c r="X9" s="3">
        <v>130158</v>
      </c>
      <c r="Y9" s="3">
        <v>68000</v>
      </c>
      <c r="AB9" s="6" t="s">
        <v>68</v>
      </c>
      <c r="AC9" s="3">
        <v>401137</v>
      </c>
    </row>
    <row r="10" spans="1:29" x14ac:dyDescent="0.3">
      <c r="B10" s="7" t="s">
        <v>323</v>
      </c>
      <c r="C10" s="15">
        <f>GETPIVOTDATA("Sum of Amount",$A$4,"Transaction Type","Income")</f>
        <v>1550200</v>
      </c>
      <c r="G10" s="6" t="s">
        <v>335</v>
      </c>
      <c r="H10" s="3">
        <v>251732</v>
      </c>
      <c r="I10" s="3">
        <v>150000</v>
      </c>
      <c r="M10" s="6" t="s">
        <v>110</v>
      </c>
      <c r="N10" s="3">
        <v>84388</v>
      </c>
      <c r="S10" s="6" t="s">
        <v>40</v>
      </c>
      <c r="T10" s="3">
        <v>184166</v>
      </c>
      <c r="W10" s="6" t="s">
        <v>66</v>
      </c>
      <c r="X10" s="3">
        <v>215729</v>
      </c>
      <c r="Y10" s="3">
        <v>50000</v>
      </c>
      <c r="AB10" s="6" t="s">
        <v>40</v>
      </c>
      <c r="AC10" s="3">
        <v>184166</v>
      </c>
    </row>
    <row r="11" spans="1:29" x14ac:dyDescent="0.3">
      <c r="B11" s="7" t="s">
        <v>324</v>
      </c>
      <c r="C11" s="15">
        <f>GETPIVOTDATA("Sum of Amount",$A$4,"Transaction Type","Expense")</f>
        <v>1555495</v>
      </c>
      <c r="G11" s="6" t="s">
        <v>336</v>
      </c>
      <c r="H11" s="3">
        <v>333647</v>
      </c>
      <c r="I11" s="3">
        <v>351200</v>
      </c>
      <c r="M11" s="6" t="s">
        <v>21</v>
      </c>
      <c r="N11" s="3">
        <v>130158</v>
      </c>
      <c r="S11" s="6" t="s">
        <v>52</v>
      </c>
      <c r="T11" s="3">
        <v>658471</v>
      </c>
      <c r="W11" s="6" t="s">
        <v>45</v>
      </c>
      <c r="X11" s="3">
        <v>316000</v>
      </c>
      <c r="Y11" s="3">
        <v>320000</v>
      </c>
      <c r="AB11" s="6" t="s">
        <v>52</v>
      </c>
      <c r="AC11" s="3">
        <v>261971</v>
      </c>
    </row>
    <row r="12" spans="1:29" x14ac:dyDescent="0.3">
      <c r="B12" s="7" t="s">
        <v>325</v>
      </c>
      <c r="C12" s="8">
        <f>C10-C11</f>
        <v>-5295</v>
      </c>
      <c r="G12" s="6" t="s">
        <v>337</v>
      </c>
      <c r="H12" s="3">
        <v>15837</v>
      </c>
      <c r="I12" s="3">
        <v>60000</v>
      </c>
      <c r="M12" s="6" t="s">
        <v>66</v>
      </c>
      <c r="N12" s="3">
        <v>215729</v>
      </c>
      <c r="S12" s="6" t="s">
        <v>100</v>
      </c>
      <c r="T12" s="3">
        <v>529821</v>
      </c>
      <c r="W12" s="6" t="s">
        <v>38</v>
      </c>
      <c r="X12" s="3">
        <v>192774</v>
      </c>
      <c r="Y12" s="3">
        <v>144000</v>
      </c>
      <c r="AB12" s="6" t="s">
        <v>100</v>
      </c>
      <c r="AC12" s="3">
        <v>260621</v>
      </c>
    </row>
    <row r="13" spans="1:29" x14ac:dyDescent="0.3">
      <c r="B13" s="7" t="s">
        <v>326</v>
      </c>
      <c r="C13" s="12">
        <f>IFERROR(C12/C10,0)</f>
        <v>-3.4156882982840924E-3</v>
      </c>
      <c r="G13" s="6" t="s">
        <v>317</v>
      </c>
      <c r="H13" s="3">
        <v>1555495</v>
      </c>
      <c r="I13" s="3">
        <v>1550200</v>
      </c>
      <c r="M13" s="6" t="s">
        <v>45</v>
      </c>
      <c r="N13" s="3">
        <v>316000</v>
      </c>
      <c r="S13" s="6" t="s">
        <v>317</v>
      </c>
      <c r="T13" s="3">
        <v>3105695</v>
      </c>
      <c r="W13" s="6" t="s">
        <v>317</v>
      </c>
      <c r="X13" s="3">
        <v>1266106</v>
      </c>
      <c r="Y13" s="3">
        <v>883000</v>
      </c>
      <c r="AB13" s="6" t="s">
        <v>317</v>
      </c>
      <c r="AC13" s="3">
        <v>1555495</v>
      </c>
    </row>
    <row r="14" spans="1:29" x14ac:dyDescent="0.3">
      <c r="B14" s="7" t="s">
        <v>327</v>
      </c>
      <c r="C14" s="9">
        <f>IFERROR(GETPIVOTDATA("Sum of Amount",$A$4,"Transaction Type","Expense")/GETPIVOTDATA("Sum of Budget",$A$4,"Transaction Type","Expense"),0)</f>
        <v>1.488511961722488</v>
      </c>
      <c r="M14" s="6" t="s">
        <v>38</v>
      </c>
      <c r="N14" s="3">
        <v>192774</v>
      </c>
    </row>
    <row r="15" spans="1:29" x14ac:dyDescent="0.3">
      <c r="B15" s="7" t="s">
        <v>329</v>
      </c>
      <c r="C15" s="8">
        <f>IFERROR(INDEX(personal_finance_dashboard_data_200_rows[Balance],MATCH(MAX(personal_finance_dashboard_data!$B$169:$B$201),personal_finance_dashboard_data_200_rows[Date],0)),0)</f>
        <v>126365</v>
      </c>
      <c r="M15" s="6" t="s">
        <v>92</v>
      </c>
      <c r="N15" s="3">
        <v>96837</v>
      </c>
    </row>
    <row r="16" spans="1:29" x14ac:dyDescent="0.3">
      <c r="M16" s="6" t="s">
        <v>317</v>
      </c>
      <c r="N16" s="3">
        <v>1555495</v>
      </c>
    </row>
    <row r="18" spans="5:16" ht="15.6" x14ac:dyDescent="0.3">
      <c r="E18" s="17" t="s">
        <v>346</v>
      </c>
      <c r="F18" s="17"/>
      <c r="G18" s="17"/>
      <c r="H18" s="17"/>
      <c r="J18" s="17" t="s">
        <v>347</v>
      </c>
      <c r="K18" s="17"/>
      <c r="L18" s="17"/>
      <c r="M18" s="17"/>
      <c r="N18" s="17"/>
    </row>
    <row r="19" spans="5:16" x14ac:dyDescent="0.3">
      <c r="O19" s="16" t="s">
        <v>348</v>
      </c>
      <c r="P19" s="16"/>
    </row>
    <row r="20" spans="5:16" x14ac:dyDescent="0.3">
      <c r="E20" s="5" t="s">
        <v>316</v>
      </c>
      <c r="F20" t="s">
        <v>318</v>
      </c>
      <c r="K20" s="5" t="s">
        <v>316</v>
      </c>
      <c r="L20" t="s">
        <v>320</v>
      </c>
    </row>
    <row r="21" spans="5:16" x14ac:dyDescent="0.3">
      <c r="E21" s="6" t="s">
        <v>344</v>
      </c>
      <c r="F21" s="3">
        <v>408248</v>
      </c>
      <c r="K21" s="6" t="s">
        <v>19</v>
      </c>
      <c r="L21">
        <v>51</v>
      </c>
      <c r="O21" s="5" t="s">
        <v>4</v>
      </c>
      <c r="P21" t="s">
        <v>29</v>
      </c>
    </row>
    <row r="22" spans="5:16" x14ac:dyDescent="0.3">
      <c r="E22" s="6" t="s">
        <v>342</v>
      </c>
      <c r="F22" s="3">
        <v>1062575</v>
      </c>
      <c r="K22" s="6" t="s">
        <v>37</v>
      </c>
      <c r="L22">
        <v>51</v>
      </c>
    </row>
    <row r="23" spans="5:16" x14ac:dyDescent="0.3">
      <c r="E23" s="6" t="s">
        <v>343</v>
      </c>
      <c r="F23" s="3">
        <v>1224997</v>
      </c>
      <c r="K23" s="6" t="s">
        <v>44</v>
      </c>
      <c r="L23">
        <v>47</v>
      </c>
      <c r="O23" s="5" t="s">
        <v>316</v>
      </c>
      <c r="P23" t="s">
        <v>318</v>
      </c>
    </row>
    <row r="24" spans="5:16" x14ac:dyDescent="0.3">
      <c r="E24" s="6" t="s">
        <v>341</v>
      </c>
      <c r="F24" s="3">
        <v>12028</v>
      </c>
      <c r="K24" s="6" t="s">
        <v>60</v>
      </c>
      <c r="L24">
        <v>51</v>
      </c>
      <c r="O24" s="6" t="s">
        <v>107</v>
      </c>
      <c r="P24" s="3">
        <v>25000</v>
      </c>
    </row>
    <row r="25" spans="5:16" x14ac:dyDescent="0.3">
      <c r="E25" s="6" t="s">
        <v>345</v>
      </c>
      <c r="F25" s="3">
        <v>397847</v>
      </c>
      <c r="K25" s="6" t="s">
        <v>317</v>
      </c>
      <c r="L25">
        <v>200</v>
      </c>
      <c r="O25" s="6" t="s">
        <v>50</v>
      </c>
      <c r="P25" s="3">
        <v>110000</v>
      </c>
    </row>
    <row r="26" spans="5:16" x14ac:dyDescent="0.3">
      <c r="E26" s="6" t="s">
        <v>317</v>
      </c>
      <c r="F26" s="3">
        <v>3105695</v>
      </c>
      <c r="O26" s="6" t="s">
        <v>122</v>
      </c>
      <c r="P26" s="3">
        <v>5200</v>
      </c>
    </row>
    <row r="27" spans="5:16" x14ac:dyDescent="0.3">
      <c r="O27" s="6" t="s">
        <v>30</v>
      </c>
      <c r="P27" s="3">
        <v>1410000</v>
      </c>
    </row>
    <row r="28" spans="5:16" x14ac:dyDescent="0.3">
      <c r="K28" s="13" t="s">
        <v>19</v>
      </c>
      <c r="L28" s="7">
        <f>GETPIVOTDATA("Transaction ID",$K$20,"Bank",K28)</f>
        <v>51</v>
      </c>
      <c r="O28" s="6" t="s">
        <v>317</v>
      </c>
      <c r="P28" s="3">
        <v>1550200</v>
      </c>
    </row>
    <row r="29" spans="5:16" x14ac:dyDescent="0.3">
      <c r="K29" s="13" t="s">
        <v>37</v>
      </c>
      <c r="L29" s="7">
        <f t="shared" ref="L29:L31" si="0">GETPIVOTDATA("Transaction ID",$K$20,"Bank",K29)</f>
        <v>51</v>
      </c>
    </row>
    <row r="30" spans="5:16" x14ac:dyDescent="0.3">
      <c r="K30" s="13" t="s">
        <v>44</v>
      </c>
      <c r="L30" s="7">
        <f t="shared" si="0"/>
        <v>47</v>
      </c>
    </row>
    <row r="31" spans="5:16" x14ac:dyDescent="0.3">
      <c r="K31" s="13" t="s">
        <v>60</v>
      </c>
      <c r="L31" s="7">
        <f t="shared" si="0"/>
        <v>51</v>
      </c>
    </row>
  </sheetData>
  <mergeCells count="7">
    <mergeCell ref="O19:P19"/>
    <mergeCell ref="S4:T4"/>
    <mergeCell ref="A2:D2"/>
    <mergeCell ref="G2:J2"/>
    <mergeCell ref="M2:P2"/>
    <mergeCell ref="E18:H18"/>
    <mergeCell ref="J18:N18"/>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FA97D2-6611-44BA-9030-1A99081B714B}">
  <sheetPr codeName="Sheet4"/>
  <dimension ref="A1:V205"/>
  <sheetViews>
    <sheetView zoomScale="82" workbookViewId="0">
      <pane ySplit="1" topLeftCell="A2" activePane="bottomLeft" state="frozen"/>
      <selection activeCell="E1" sqref="E1"/>
      <selection pane="bottomLeft" activeCell="W2" sqref="W2"/>
    </sheetView>
  </sheetViews>
  <sheetFormatPr defaultRowHeight="14.4" x14ac:dyDescent="0.3"/>
  <cols>
    <col min="1" max="1" width="16" bestFit="1" customWidth="1"/>
    <col min="2" max="2" width="9.33203125" bestFit="1" customWidth="1"/>
    <col min="3" max="3" width="7.44140625" bestFit="1" customWidth="1"/>
    <col min="4" max="4" width="7.6640625" bestFit="1" customWidth="1"/>
    <col min="5" max="5" width="18.109375" bestFit="1" customWidth="1"/>
    <col min="6" max="6" width="12.6640625" bestFit="1" customWidth="1"/>
    <col min="7" max="7" width="15.109375" bestFit="1" customWidth="1"/>
    <col min="8" max="8" width="18.109375" bestFit="1" customWidth="1"/>
    <col min="9" max="9" width="15.5546875" bestFit="1" customWidth="1"/>
    <col min="10" max="10" width="23.33203125" bestFit="1" customWidth="1"/>
    <col min="11" max="11" width="10.21875" bestFit="1" customWidth="1"/>
    <col min="12" max="12" width="9.5546875" bestFit="1" customWidth="1"/>
    <col min="13" max="13" width="10.109375" bestFit="1" customWidth="1"/>
    <col min="14" max="14" width="11" bestFit="1" customWidth="1"/>
    <col min="15" max="15" width="9.88671875" bestFit="1" customWidth="1"/>
    <col min="16" max="16" width="11.88671875" bestFit="1" customWidth="1"/>
    <col min="17" max="17" width="6.44140625" bestFit="1" customWidth="1"/>
    <col min="18" max="18" width="10.21875" bestFit="1" customWidth="1"/>
    <col min="19" max="19" width="9" bestFit="1" customWidth="1"/>
    <col min="20" max="20" width="11.6640625" bestFit="1" customWidth="1"/>
    <col min="21" max="21" width="10.109375" bestFit="1" customWidth="1"/>
    <col min="22" max="22" width="14.5546875" bestFit="1" customWidth="1"/>
  </cols>
  <sheetData>
    <row r="1" spans="1:22" x14ac:dyDescent="0.3">
      <c r="A1" t="s">
        <v>0</v>
      </c>
      <c r="B1" t="s">
        <v>1</v>
      </c>
      <c r="C1" t="s">
        <v>2</v>
      </c>
      <c r="D1" t="s">
        <v>3</v>
      </c>
      <c r="E1" t="s">
        <v>4</v>
      </c>
      <c r="F1" t="s">
        <v>5</v>
      </c>
      <c r="G1" t="s">
        <v>6</v>
      </c>
      <c r="H1" t="s">
        <v>7</v>
      </c>
      <c r="I1" t="s">
        <v>8</v>
      </c>
      <c r="J1" t="s">
        <v>9</v>
      </c>
      <c r="K1" t="s">
        <v>10</v>
      </c>
      <c r="L1" t="s">
        <v>11</v>
      </c>
      <c r="M1" t="s">
        <v>12</v>
      </c>
      <c r="N1" t="s">
        <v>13</v>
      </c>
      <c r="O1" t="s">
        <v>14</v>
      </c>
      <c r="P1" t="s">
        <v>15</v>
      </c>
      <c r="Q1" t="s">
        <v>16</v>
      </c>
      <c r="R1" s="2" t="s">
        <v>17</v>
      </c>
      <c r="S1" s="4" t="s">
        <v>313</v>
      </c>
      <c r="T1" s="4" t="s">
        <v>314</v>
      </c>
      <c r="U1" s="4" t="s">
        <v>315</v>
      </c>
      <c r="V1" t="s">
        <v>340</v>
      </c>
    </row>
    <row r="2" spans="1:22" x14ac:dyDescent="0.3">
      <c r="A2" t="s">
        <v>36</v>
      </c>
      <c r="B2" s="1">
        <v>46025</v>
      </c>
      <c r="C2">
        <v>2026</v>
      </c>
      <c r="D2" t="s">
        <v>37</v>
      </c>
      <c r="E2" t="s">
        <v>20</v>
      </c>
      <c r="F2" t="s">
        <v>38</v>
      </c>
      <c r="G2" t="s">
        <v>39</v>
      </c>
      <c r="H2" t="s">
        <v>40</v>
      </c>
      <c r="I2" t="s">
        <v>41</v>
      </c>
      <c r="J2" t="s">
        <v>39</v>
      </c>
      <c r="K2" s="3">
        <v>7555</v>
      </c>
      <c r="L2" s="3">
        <v>8000</v>
      </c>
      <c r="M2" s="3">
        <v>0</v>
      </c>
      <c r="N2" t="s">
        <v>42</v>
      </c>
      <c r="O2" t="s">
        <v>26</v>
      </c>
      <c r="P2" t="s">
        <v>27</v>
      </c>
      <c r="Q2" t="s">
        <v>35</v>
      </c>
      <c r="R2" s="3">
        <v>62373</v>
      </c>
      <c r="S2" t="str">
        <f>TEXT(personal_finance_dashboard_data_200_rows[[#This Row],[Date]],"mmm")</f>
        <v>Jan</v>
      </c>
      <c r="T2">
        <f>MONTH(personal_finance_dashboard_data_200_rows[[#This Row],[Date]])</f>
        <v>1</v>
      </c>
      <c r="U2" t="str">
        <f>"Q"&amp;ROUNDUP(MONTH(personal_finance_dashboard_data_200_rows[[#This Row],[Date]])/3,0)</f>
        <v>Q1</v>
      </c>
      <c r="V2" t="s">
        <v>344</v>
      </c>
    </row>
    <row r="3" spans="1:22" x14ac:dyDescent="0.3">
      <c r="A3" t="s">
        <v>90</v>
      </c>
      <c r="B3" s="1">
        <v>46025</v>
      </c>
      <c r="C3">
        <v>2026</v>
      </c>
      <c r="D3" t="s">
        <v>19</v>
      </c>
      <c r="E3" t="s">
        <v>20</v>
      </c>
      <c r="F3" t="s">
        <v>21</v>
      </c>
      <c r="G3" t="s">
        <v>22</v>
      </c>
      <c r="H3" t="s">
        <v>40</v>
      </c>
      <c r="I3" t="s">
        <v>24</v>
      </c>
      <c r="J3" t="s">
        <v>22</v>
      </c>
      <c r="K3" s="3">
        <v>1529</v>
      </c>
      <c r="L3" s="3">
        <v>4000</v>
      </c>
      <c r="M3" s="3">
        <v>2000</v>
      </c>
      <c r="N3" t="s">
        <v>42</v>
      </c>
      <c r="O3" t="s">
        <v>26</v>
      </c>
      <c r="P3" t="s">
        <v>27</v>
      </c>
      <c r="Q3" t="s">
        <v>27</v>
      </c>
      <c r="R3" s="3">
        <v>-53691</v>
      </c>
      <c r="S3" t="str">
        <f>TEXT(personal_finance_dashboard_data_200_rows[[#This Row],[Date]],"mmm")</f>
        <v>Jan</v>
      </c>
      <c r="T3">
        <f>MONTH(personal_finance_dashboard_data_200_rows[[#This Row],[Date]])</f>
        <v>1</v>
      </c>
      <c r="U3" t="str">
        <f>"Q"&amp;ROUNDUP(MONTH(personal_finance_dashboard_data_200_rows[[#This Row],[Date]])/3,0)</f>
        <v>Q1</v>
      </c>
      <c r="V3" t="s">
        <v>343</v>
      </c>
    </row>
    <row r="4" spans="1:22" x14ac:dyDescent="0.3">
      <c r="A4" t="s">
        <v>151</v>
      </c>
      <c r="B4" s="1">
        <v>46027</v>
      </c>
      <c r="C4">
        <v>2026</v>
      </c>
      <c r="D4" t="s">
        <v>60</v>
      </c>
      <c r="E4" t="s">
        <v>29</v>
      </c>
      <c r="F4" t="s">
        <v>122</v>
      </c>
      <c r="G4" t="s">
        <v>122</v>
      </c>
      <c r="H4" t="s">
        <v>32</v>
      </c>
      <c r="I4" t="s">
        <v>123</v>
      </c>
      <c r="J4" t="s">
        <v>124</v>
      </c>
      <c r="K4" s="3">
        <v>800</v>
      </c>
      <c r="L4" s="3">
        <v>0</v>
      </c>
      <c r="M4" s="3">
        <v>5000</v>
      </c>
      <c r="N4" t="s">
        <v>97</v>
      </c>
      <c r="O4" t="s">
        <v>26</v>
      </c>
      <c r="P4" t="s">
        <v>27</v>
      </c>
      <c r="Q4" t="s">
        <v>27</v>
      </c>
      <c r="R4" s="3">
        <v>101511</v>
      </c>
      <c r="S4" t="str">
        <f>TEXT(personal_finance_dashboard_data_200_rows[[#This Row],[Date]],"mmm")</f>
        <v>Jan</v>
      </c>
      <c r="T4">
        <f>MONTH(personal_finance_dashboard_data_200_rows[[#This Row],[Date]])</f>
        <v>1</v>
      </c>
      <c r="U4" t="str">
        <f>"Q"&amp;ROUNDUP(MONTH(personal_finance_dashboard_data_200_rows[[#This Row],[Date]])/3,0)</f>
        <v>Q1</v>
      </c>
      <c r="V4" t="s">
        <v>342</v>
      </c>
    </row>
    <row r="5" spans="1:22" x14ac:dyDescent="0.3">
      <c r="A5" t="s">
        <v>312</v>
      </c>
      <c r="B5" s="1">
        <v>46027</v>
      </c>
      <c r="C5">
        <v>2026</v>
      </c>
      <c r="D5" t="s">
        <v>37</v>
      </c>
      <c r="E5" t="s">
        <v>20</v>
      </c>
      <c r="F5" t="s">
        <v>74</v>
      </c>
      <c r="G5" t="s">
        <v>166</v>
      </c>
      <c r="H5" t="s">
        <v>23</v>
      </c>
      <c r="I5" t="s">
        <v>167</v>
      </c>
      <c r="J5" t="s">
        <v>166</v>
      </c>
      <c r="K5" s="3">
        <v>8449</v>
      </c>
      <c r="L5" s="3">
        <v>10000</v>
      </c>
      <c r="M5" s="3">
        <v>0</v>
      </c>
      <c r="N5" t="s">
        <v>58</v>
      </c>
      <c r="O5" t="s">
        <v>26</v>
      </c>
      <c r="P5" t="s">
        <v>35</v>
      </c>
      <c r="Q5" t="s">
        <v>27</v>
      </c>
      <c r="R5" s="3">
        <v>19705</v>
      </c>
      <c r="S5" t="str">
        <f>TEXT(personal_finance_dashboard_data_200_rows[[#This Row],[Date]],"mmm")</f>
        <v>Jan</v>
      </c>
      <c r="T5">
        <f>MONTH(personal_finance_dashboard_data_200_rows[[#This Row],[Date]])</f>
        <v>1</v>
      </c>
      <c r="U5" t="str">
        <f>"Q"&amp;ROUNDUP(MONTH(personal_finance_dashboard_data_200_rows[[#This Row],[Date]])/3,0)</f>
        <v>Q1</v>
      </c>
      <c r="V5" t="s">
        <v>342</v>
      </c>
    </row>
    <row r="6" spans="1:22" x14ac:dyDescent="0.3">
      <c r="A6" t="s">
        <v>146</v>
      </c>
      <c r="B6" s="1">
        <v>46028</v>
      </c>
      <c r="C6">
        <v>2026</v>
      </c>
      <c r="D6" t="s">
        <v>19</v>
      </c>
      <c r="E6" t="s">
        <v>20</v>
      </c>
      <c r="F6" t="s">
        <v>74</v>
      </c>
      <c r="G6" t="s">
        <v>81</v>
      </c>
      <c r="H6" t="s">
        <v>100</v>
      </c>
      <c r="I6" t="s">
        <v>147</v>
      </c>
      <c r="J6" t="s">
        <v>81</v>
      </c>
      <c r="K6" s="3">
        <v>1516</v>
      </c>
      <c r="L6" s="3">
        <v>10000</v>
      </c>
      <c r="M6" s="3">
        <v>0</v>
      </c>
      <c r="N6" t="s">
        <v>64</v>
      </c>
      <c r="O6" t="s">
        <v>26</v>
      </c>
      <c r="P6" t="s">
        <v>27</v>
      </c>
      <c r="Q6" t="s">
        <v>27</v>
      </c>
      <c r="R6" s="3">
        <v>61484</v>
      </c>
      <c r="S6" t="str">
        <f>TEXT(personal_finance_dashboard_data_200_rows[[#This Row],[Date]],"mmm")</f>
        <v>Jan</v>
      </c>
      <c r="T6">
        <f>MONTH(personal_finance_dashboard_data_200_rows[[#This Row],[Date]])</f>
        <v>1</v>
      </c>
      <c r="U6" t="str">
        <f>"Q"&amp;ROUNDUP(MONTH(personal_finance_dashboard_data_200_rows[[#This Row],[Date]])/3,0)</f>
        <v>Q1</v>
      </c>
      <c r="V6" t="s">
        <v>343</v>
      </c>
    </row>
    <row r="7" spans="1:22" x14ac:dyDescent="0.3">
      <c r="A7" t="s">
        <v>280</v>
      </c>
      <c r="B7" s="1">
        <v>46028</v>
      </c>
      <c r="C7">
        <v>2026</v>
      </c>
      <c r="D7" t="s">
        <v>60</v>
      </c>
      <c r="E7" t="s">
        <v>20</v>
      </c>
      <c r="F7" t="s">
        <v>84</v>
      </c>
      <c r="G7" t="s">
        <v>85</v>
      </c>
      <c r="H7" t="s">
        <v>52</v>
      </c>
      <c r="I7" t="s">
        <v>86</v>
      </c>
      <c r="J7" t="s">
        <v>85</v>
      </c>
      <c r="K7" s="3">
        <v>13947</v>
      </c>
      <c r="L7" s="3">
        <v>3000</v>
      </c>
      <c r="M7" s="3">
        <v>2000</v>
      </c>
      <c r="N7" t="s">
        <v>64</v>
      </c>
      <c r="O7" t="s">
        <v>26</v>
      </c>
      <c r="P7" t="s">
        <v>35</v>
      </c>
      <c r="Q7" t="s">
        <v>27</v>
      </c>
      <c r="R7" s="3">
        <v>33824</v>
      </c>
      <c r="S7" t="str">
        <f>TEXT(personal_finance_dashboard_data_200_rows[[#This Row],[Date]],"mmm")</f>
        <v>Jan</v>
      </c>
      <c r="T7">
        <f>MONTH(personal_finance_dashboard_data_200_rows[[#This Row],[Date]])</f>
        <v>1</v>
      </c>
      <c r="U7" t="str">
        <f>"Q"&amp;ROUNDUP(MONTH(personal_finance_dashboard_data_200_rows[[#This Row],[Date]])/3,0)</f>
        <v>Q1</v>
      </c>
      <c r="V7" t="s">
        <v>342</v>
      </c>
    </row>
    <row r="8" spans="1:22" x14ac:dyDescent="0.3">
      <c r="A8" t="s">
        <v>272</v>
      </c>
      <c r="B8" s="1">
        <v>46029</v>
      </c>
      <c r="C8">
        <v>2026</v>
      </c>
      <c r="D8" t="s">
        <v>19</v>
      </c>
      <c r="E8" t="s">
        <v>20</v>
      </c>
      <c r="F8" t="s">
        <v>21</v>
      </c>
      <c r="G8" t="s">
        <v>22</v>
      </c>
      <c r="H8" t="s">
        <v>32</v>
      </c>
      <c r="I8" t="s">
        <v>118</v>
      </c>
      <c r="J8" t="s">
        <v>22</v>
      </c>
      <c r="K8" s="3">
        <v>12063</v>
      </c>
      <c r="L8" s="3">
        <v>4000</v>
      </c>
      <c r="M8" s="3">
        <v>500</v>
      </c>
      <c r="N8" t="s">
        <v>97</v>
      </c>
      <c r="O8" t="s">
        <v>26</v>
      </c>
      <c r="P8" t="s">
        <v>27</v>
      </c>
      <c r="Q8" t="s">
        <v>27</v>
      </c>
      <c r="R8" s="3">
        <v>59989</v>
      </c>
      <c r="S8" t="str">
        <f>TEXT(personal_finance_dashboard_data_200_rows[[#This Row],[Date]],"mmm")</f>
        <v>Jan</v>
      </c>
      <c r="T8">
        <f>MONTH(personal_finance_dashboard_data_200_rows[[#This Row],[Date]])</f>
        <v>1</v>
      </c>
      <c r="U8" t="str">
        <f>"Q"&amp;ROUNDUP(MONTH(personal_finance_dashboard_data_200_rows[[#This Row],[Date]])/3,0)</f>
        <v>Q1</v>
      </c>
      <c r="V8" t="s">
        <v>342</v>
      </c>
    </row>
    <row r="9" spans="1:22" x14ac:dyDescent="0.3">
      <c r="A9" t="s">
        <v>28</v>
      </c>
      <c r="B9" s="1">
        <v>46032</v>
      </c>
      <c r="C9">
        <v>2026</v>
      </c>
      <c r="D9" t="s">
        <v>19</v>
      </c>
      <c r="E9" t="s">
        <v>29</v>
      </c>
      <c r="F9" t="s">
        <v>30</v>
      </c>
      <c r="G9" t="s">
        <v>31</v>
      </c>
      <c r="H9" t="s">
        <v>32</v>
      </c>
      <c r="I9" t="s">
        <v>33</v>
      </c>
      <c r="J9" t="s">
        <v>34</v>
      </c>
      <c r="K9" s="3">
        <v>50000</v>
      </c>
      <c r="L9" s="3">
        <v>0</v>
      </c>
      <c r="M9" s="3">
        <v>2000</v>
      </c>
      <c r="N9" t="s">
        <v>25</v>
      </c>
      <c r="O9" t="s">
        <v>26</v>
      </c>
      <c r="P9" t="s">
        <v>35</v>
      </c>
      <c r="Q9" t="s">
        <v>35</v>
      </c>
      <c r="R9" s="3">
        <v>69928</v>
      </c>
      <c r="S9" t="str">
        <f>TEXT(personal_finance_dashboard_data_200_rows[[#This Row],[Date]],"mmm")</f>
        <v>Jan</v>
      </c>
      <c r="T9">
        <f>MONTH(personal_finance_dashboard_data_200_rows[[#This Row],[Date]])</f>
        <v>1</v>
      </c>
      <c r="U9" t="str">
        <f>"Q"&amp;ROUNDUP(MONTH(personal_finance_dashboard_data_200_rows[[#This Row],[Date]])/3,0)</f>
        <v>Q1</v>
      </c>
      <c r="V9" t="s">
        <v>342</v>
      </c>
    </row>
    <row r="10" spans="1:22" x14ac:dyDescent="0.3">
      <c r="A10" t="s">
        <v>194</v>
      </c>
      <c r="B10" s="1">
        <v>46032</v>
      </c>
      <c r="C10">
        <v>2026</v>
      </c>
      <c r="D10" t="s">
        <v>44</v>
      </c>
      <c r="E10" t="s">
        <v>29</v>
      </c>
      <c r="F10" t="s">
        <v>122</v>
      </c>
      <c r="G10" t="s">
        <v>122</v>
      </c>
      <c r="H10" t="s">
        <v>52</v>
      </c>
      <c r="I10" t="s">
        <v>123</v>
      </c>
      <c r="J10" t="s">
        <v>124</v>
      </c>
      <c r="K10" s="3">
        <v>1500</v>
      </c>
      <c r="L10" s="3">
        <v>0</v>
      </c>
      <c r="M10" s="3">
        <v>2000</v>
      </c>
      <c r="N10" t="s">
        <v>42</v>
      </c>
      <c r="O10" t="s">
        <v>26</v>
      </c>
      <c r="P10" t="s">
        <v>27</v>
      </c>
      <c r="Q10" t="s">
        <v>27</v>
      </c>
      <c r="R10" s="3">
        <v>127642</v>
      </c>
      <c r="S10" t="str">
        <f>TEXT(personal_finance_dashboard_data_200_rows[[#This Row],[Date]],"mmm")</f>
        <v>Jan</v>
      </c>
      <c r="T10">
        <f>MONTH(personal_finance_dashboard_data_200_rows[[#This Row],[Date]])</f>
        <v>1</v>
      </c>
      <c r="U10" t="str">
        <f>"Q"&amp;ROUNDUP(MONTH(personal_finance_dashboard_data_200_rows[[#This Row],[Date]])/3,0)</f>
        <v>Q1</v>
      </c>
      <c r="V10" t="s">
        <v>342</v>
      </c>
    </row>
    <row r="11" spans="1:22" x14ac:dyDescent="0.3">
      <c r="A11" t="s">
        <v>188</v>
      </c>
      <c r="B11" s="1">
        <v>46035</v>
      </c>
      <c r="C11">
        <v>2026</v>
      </c>
      <c r="D11" t="s">
        <v>44</v>
      </c>
      <c r="E11" t="s">
        <v>20</v>
      </c>
      <c r="F11" t="s">
        <v>66</v>
      </c>
      <c r="G11" t="s">
        <v>130</v>
      </c>
      <c r="H11" t="s">
        <v>100</v>
      </c>
      <c r="I11" t="s">
        <v>131</v>
      </c>
      <c r="J11" t="s">
        <v>130</v>
      </c>
      <c r="K11" s="3">
        <v>5270</v>
      </c>
      <c r="L11" s="3">
        <v>2000</v>
      </c>
      <c r="M11" s="3">
        <v>2000</v>
      </c>
      <c r="N11" t="s">
        <v>25</v>
      </c>
      <c r="O11" t="s">
        <v>26</v>
      </c>
      <c r="P11" t="s">
        <v>35</v>
      </c>
      <c r="Q11" t="s">
        <v>35</v>
      </c>
      <c r="R11" s="3">
        <v>179800</v>
      </c>
      <c r="S11" t="str">
        <f>TEXT(personal_finance_dashboard_data_200_rows[[#This Row],[Date]],"mmm")</f>
        <v>Jan</v>
      </c>
      <c r="T11">
        <f>MONTH(personal_finance_dashboard_data_200_rows[[#This Row],[Date]])</f>
        <v>1</v>
      </c>
      <c r="U11" t="str">
        <f>"Q"&amp;ROUNDUP(MONTH(personal_finance_dashboard_data_200_rows[[#This Row],[Date]])/3,0)</f>
        <v>Q1</v>
      </c>
      <c r="V11" t="s">
        <v>344</v>
      </c>
    </row>
    <row r="12" spans="1:22" x14ac:dyDescent="0.3">
      <c r="A12" t="s">
        <v>249</v>
      </c>
      <c r="B12" s="1">
        <v>46035</v>
      </c>
      <c r="C12">
        <v>2026</v>
      </c>
      <c r="D12" t="s">
        <v>37</v>
      </c>
      <c r="E12" t="s">
        <v>20</v>
      </c>
      <c r="F12" t="s">
        <v>38</v>
      </c>
      <c r="G12" t="s">
        <v>71</v>
      </c>
      <c r="H12" t="s">
        <v>52</v>
      </c>
      <c r="I12" t="s">
        <v>72</v>
      </c>
      <c r="J12" t="s">
        <v>71</v>
      </c>
      <c r="K12" s="3">
        <v>13549</v>
      </c>
      <c r="L12" s="3">
        <v>8000</v>
      </c>
      <c r="M12" s="3">
        <v>500</v>
      </c>
      <c r="N12" t="s">
        <v>25</v>
      </c>
      <c r="O12" t="s">
        <v>26</v>
      </c>
      <c r="P12" t="s">
        <v>27</v>
      </c>
      <c r="Q12" t="s">
        <v>35</v>
      </c>
      <c r="R12" s="3">
        <v>192623</v>
      </c>
      <c r="S12" t="str">
        <f>TEXT(personal_finance_dashboard_data_200_rows[[#This Row],[Date]],"mmm")</f>
        <v>Jan</v>
      </c>
      <c r="T12">
        <f>MONTH(personal_finance_dashboard_data_200_rows[[#This Row],[Date]])</f>
        <v>1</v>
      </c>
      <c r="U12" t="str">
        <f>"Q"&amp;ROUNDUP(MONTH(personal_finance_dashboard_data_200_rows[[#This Row],[Date]])/3,0)</f>
        <v>Q1</v>
      </c>
      <c r="V12" t="s">
        <v>345</v>
      </c>
    </row>
    <row r="13" spans="1:22" x14ac:dyDescent="0.3">
      <c r="A13" t="s">
        <v>276</v>
      </c>
      <c r="B13" s="1">
        <v>46035</v>
      </c>
      <c r="C13">
        <v>2026</v>
      </c>
      <c r="D13" t="s">
        <v>19</v>
      </c>
      <c r="E13" t="s">
        <v>20</v>
      </c>
      <c r="F13" t="s">
        <v>92</v>
      </c>
      <c r="G13" t="s">
        <v>177</v>
      </c>
      <c r="H13" t="s">
        <v>52</v>
      </c>
      <c r="I13" t="s">
        <v>178</v>
      </c>
      <c r="J13" t="s">
        <v>177</v>
      </c>
      <c r="K13" s="3">
        <v>5380</v>
      </c>
      <c r="L13" s="3">
        <v>5000</v>
      </c>
      <c r="M13" s="3">
        <v>0</v>
      </c>
      <c r="N13" t="s">
        <v>58</v>
      </c>
      <c r="O13" t="s">
        <v>26</v>
      </c>
      <c r="P13" t="s">
        <v>35</v>
      </c>
      <c r="Q13" t="s">
        <v>27</v>
      </c>
      <c r="R13" s="3">
        <v>19874</v>
      </c>
      <c r="S13" t="str">
        <f>TEXT(personal_finance_dashboard_data_200_rows[[#This Row],[Date]],"mmm")</f>
        <v>Jan</v>
      </c>
      <c r="T13">
        <f>MONTH(personal_finance_dashboard_data_200_rows[[#This Row],[Date]])</f>
        <v>1</v>
      </c>
      <c r="U13" t="str">
        <f>"Q"&amp;ROUNDUP(MONTH(personal_finance_dashboard_data_200_rows[[#This Row],[Date]])/3,0)</f>
        <v>Q1</v>
      </c>
      <c r="V13" t="s">
        <v>343</v>
      </c>
    </row>
    <row r="14" spans="1:22" x14ac:dyDescent="0.3">
      <c r="A14" t="s">
        <v>301</v>
      </c>
      <c r="B14" s="1">
        <v>46035</v>
      </c>
      <c r="C14">
        <v>2026</v>
      </c>
      <c r="D14" t="s">
        <v>60</v>
      </c>
      <c r="E14" t="s">
        <v>20</v>
      </c>
      <c r="F14" t="s">
        <v>61</v>
      </c>
      <c r="G14" t="s">
        <v>62</v>
      </c>
      <c r="H14" t="s">
        <v>68</v>
      </c>
      <c r="I14" t="s">
        <v>63</v>
      </c>
      <c r="J14" t="s">
        <v>62</v>
      </c>
      <c r="K14" s="3">
        <v>2761</v>
      </c>
      <c r="L14" s="3">
        <v>3000</v>
      </c>
      <c r="M14" s="3">
        <v>500</v>
      </c>
      <c r="N14" t="s">
        <v>64</v>
      </c>
      <c r="O14" t="s">
        <v>26</v>
      </c>
      <c r="P14" t="s">
        <v>27</v>
      </c>
      <c r="Q14" t="s">
        <v>27</v>
      </c>
      <c r="R14" s="3">
        <v>36146</v>
      </c>
      <c r="S14" t="str">
        <f>TEXT(personal_finance_dashboard_data_200_rows[[#This Row],[Date]],"mmm")</f>
        <v>Jan</v>
      </c>
      <c r="T14">
        <f>MONTH(personal_finance_dashboard_data_200_rows[[#This Row],[Date]])</f>
        <v>1</v>
      </c>
      <c r="U14" t="str">
        <f>"Q"&amp;ROUNDUP(MONTH(personal_finance_dashboard_data_200_rows[[#This Row],[Date]])/3,0)</f>
        <v>Q1</v>
      </c>
      <c r="V14" t="s">
        <v>343</v>
      </c>
    </row>
    <row r="15" spans="1:22" x14ac:dyDescent="0.3">
      <c r="A15" t="s">
        <v>286</v>
      </c>
      <c r="B15" s="1">
        <v>46036</v>
      </c>
      <c r="C15">
        <v>2026</v>
      </c>
      <c r="D15" t="s">
        <v>37</v>
      </c>
      <c r="E15" t="s">
        <v>20</v>
      </c>
      <c r="F15" t="s">
        <v>74</v>
      </c>
      <c r="G15" t="s">
        <v>166</v>
      </c>
      <c r="H15" t="s">
        <v>23</v>
      </c>
      <c r="I15" t="s">
        <v>263</v>
      </c>
      <c r="J15" t="s">
        <v>166</v>
      </c>
      <c r="K15" s="3">
        <v>11323</v>
      </c>
      <c r="L15" s="3">
        <v>10000</v>
      </c>
      <c r="M15" s="3">
        <v>0</v>
      </c>
      <c r="N15" t="s">
        <v>42</v>
      </c>
      <c r="O15" t="s">
        <v>26</v>
      </c>
      <c r="P15" t="s">
        <v>27</v>
      </c>
      <c r="Q15" t="s">
        <v>27</v>
      </c>
      <c r="R15" s="3">
        <v>69858</v>
      </c>
      <c r="S15" t="str">
        <f>TEXT(personal_finance_dashboard_data_200_rows[[#This Row],[Date]],"mmm")</f>
        <v>Jan</v>
      </c>
      <c r="T15">
        <f>MONTH(personal_finance_dashboard_data_200_rows[[#This Row],[Date]])</f>
        <v>1</v>
      </c>
      <c r="U15" t="str">
        <f>"Q"&amp;ROUNDUP(MONTH(personal_finance_dashboard_data_200_rows[[#This Row],[Date]])/3,0)</f>
        <v>Q1</v>
      </c>
      <c r="V15" t="s">
        <v>343</v>
      </c>
    </row>
    <row r="16" spans="1:22" x14ac:dyDescent="0.3">
      <c r="A16" t="s">
        <v>162</v>
      </c>
      <c r="B16" s="1">
        <v>46037</v>
      </c>
      <c r="C16">
        <v>2026</v>
      </c>
      <c r="D16" t="s">
        <v>44</v>
      </c>
      <c r="E16" t="s">
        <v>20</v>
      </c>
      <c r="F16" t="s">
        <v>92</v>
      </c>
      <c r="G16" t="s">
        <v>93</v>
      </c>
      <c r="H16" t="s">
        <v>52</v>
      </c>
      <c r="I16" t="s">
        <v>163</v>
      </c>
      <c r="J16" t="s">
        <v>93</v>
      </c>
      <c r="K16" s="3">
        <v>901</v>
      </c>
      <c r="L16" s="3">
        <v>5000</v>
      </c>
      <c r="M16" s="3">
        <v>1000</v>
      </c>
      <c r="N16" t="s">
        <v>42</v>
      </c>
      <c r="O16" t="s">
        <v>26</v>
      </c>
      <c r="P16" t="s">
        <v>27</v>
      </c>
      <c r="Q16" t="s">
        <v>27</v>
      </c>
      <c r="R16" s="3">
        <v>93320</v>
      </c>
      <c r="S16" t="str">
        <f>TEXT(personal_finance_dashboard_data_200_rows[[#This Row],[Date]],"mmm")</f>
        <v>Jan</v>
      </c>
      <c r="T16">
        <f>MONTH(personal_finance_dashboard_data_200_rows[[#This Row],[Date]])</f>
        <v>1</v>
      </c>
      <c r="U16" t="str">
        <f>"Q"&amp;ROUNDUP(MONTH(personal_finance_dashboard_data_200_rows[[#This Row],[Date]])/3,0)</f>
        <v>Q1</v>
      </c>
      <c r="V16" t="s">
        <v>342</v>
      </c>
    </row>
    <row r="17" spans="1:22" x14ac:dyDescent="0.3">
      <c r="A17" t="s">
        <v>240</v>
      </c>
      <c r="B17" s="1">
        <v>46037</v>
      </c>
      <c r="C17">
        <v>2026</v>
      </c>
      <c r="D17" t="s">
        <v>60</v>
      </c>
      <c r="E17" t="s">
        <v>20</v>
      </c>
      <c r="F17" t="s">
        <v>74</v>
      </c>
      <c r="G17" t="s">
        <v>81</v>
      </c>
      <c r="H17" t="s">
        <v>32</v>
      </c>
      <c r="I17" t="s">
        <v>72</v>
      </c>
      <c r="J17" t="s">
        <v>81</v>
      </c>
      <c r="K17" s="3">
        <v>9840</v>
      </c>
      <c r="L17" s="3">
        <v>10000</v>
      </c>
      <c r="M17" s="3">
        <v>500</v>
      </c>
      <c r="N17" t="s">
        <v>64</v>
      </c>
      <c r="O17" t="s">
        <v>26</v>
      </c>
      <c r="P17" t="s">
        <v>27</v>
      </c>
      <c r="Q17" t="s">
        <v>27</v>
      </c>
      <c r="R17" s="3">
        <v>162304</v>
      </c>
      <c r="S17" t="str">
        <f>TEXT(personal_finance_dashboard_data_200_rows[[#This Row],[Date]],"mmm")</f>
        <v>Jan</v>
      </c>
      <c r="T17">
        <f>MONTH(personal_finance_dashboard_data_200_rows[[#This Row],[Date]])</f>
        <v>1</v>
      </c>
      <c r="U17" t="str">
        <f>"Q"&amp;ROUNDUP(MONTH(personal_finance_dashboard_data_200_rows[[#This Row],[Date]])/3,0)</f>
        <v>Q1</v>
      </c>
      <c r="V17" t="s">
        <v>343</v>
      </c>
    </row>
    <row r="18" spans="1:22" x14ac:dyDescent="0.3">
      <c r="A18" t="s">
        <v>103</v>
      </c>
      <c r="B18" s="1">
        <v>46038</v>
      </c>
      <c r="C18">
        <v>2026</v>
      </c>
      <c r="D18" t="s">
        <v>19</v>
      </c>
      <c r="E18" t="s">
        <v>29</v>
      </c>
      <c r="F18" t="s">
        <v>30</v>
      </c>
      <c r="G18" t="s">
        <v>31</v>
      </c>
      <c r="H18" t="s">
        <v>23</v>
      </c>
      <c r="I18" t="s">
        <v>33</v>
      </c>
      <c r="J18" t="s">
        <v>34</v>
      </c>
      <c r="K18" s="3">
        <v>60000</v>
      </c>
      <c r="L18" s="3">
        <v>0</v>
      </c>
      <c r="M18" s="3">
        <v>2000</v>
      </c>
      <c r="N18" t="s">
        <v>58</v>
      </c>
      <c r="O18" t="s">
        <v>26</v>
      </c>
      <c r="P18" t="s">
        <v>35</v>
      </c>
      <c r="Q18" t="s">
        <v>35</v>
      </c>
      <c r="R18" s="3">
        <v>65128</v>
      </c>
      <c r="S18" t="str">
        <f>TEXT(personal_finance_dashboard_data_200_rows[[#This Row],[Date]],"mmm")</f>
        <v>Jan</v>
      </c>
      <c r="T18">
        <f>MONTH(personal_finance_dashboard_data_200_rows[[#This Row],[Date]])</f>
        <v>1</v>
      </c>
      <c r="U18" t="str">
        <f>"Q"&amp;ROUNDUP(MONTH(personal_finance_dashboard_data_200_rows[[#This Row],[Date]])/3,0)</f>
        <v>Q1</v>
      </c>
      <c r="V18" t="s">
        <v>343</v>
      </c>
    </row>
    <row r="19" spans="1:22" x14ac:dyDescent="0.3">
      <c r="A19" t="s">
        <v>105</v>
      </c>
      <c r="B19" s="1">
        <v>46042</v>
      </c>
      <c r="C19">
        <v>2026</v>
      </c>
      <c r="D19" t="s">
        <v>19</v>
      </c>
      <c r="E19" t="s">
        <v>20</v>
      </c>
      <c r="F19" t="s">
        <v>74</v>
      </c>
      <c r="G19" t="s">
        <v>81</v>
      </c>
      <c r="H19" t="s">
        <v>52</v>
      </c>
      <c r="I19" t="s">
        <v>72</v>
      </c>
      <c r="J19" t="s">
        <v>81</v>
      </c>
      <c r="K19" s="3">
        <v>7484</v>
      </c>
      <c r="L19" s="3">
        <v>10000</v>
      </c>
      <c r="M19" s="3">
        <v>0</v>
      </c>
      <c r="N19" t="s">
        <v>97</v>
      </c>
      <c r="O19" t="s">
        <v>26</v>
      </c>
      <c r="P19" t="s">
        <v>27</v>
      </c>
      <c r="Q19" t="s">
        <v>27</v>
      </c>
      <c r="R19" s="3">
        <v>69644</v>
      </c>
      <c r="S19" t="str">
        <f>TEXT(personal_finance_dashboard_data_200_rows[[#This Row],[Date]],"mmm")</f>
        <v>Jan</v>
      </c>
      <c r="T19">
        <f>MONTH(personal_finance_dashboard_data_200_rows[[#This Row],[Date]])</f>
        <v>1</v>
      </c>
      <c r="U19" t="str">
        <f>"Q"&amp;ROUNDUP(MONTH(personal_finance_dashboard_data_200_rows[[#This Row],[Date]])/3,0)</f>
        <v>Q1</v>
      </c>
      <c r="V19" t="s">
        <v>345</v>
      </c>
    </row>
    <row r="20" spans="1:22" x14ac:dyDescent="0.3">
      <c r="A20" t="s">
        <v>140</v>
      </c>
      <c r="B20" s="1">
        <v>46043</v>
      </c>
      <c r="C20">
        <v>2026</v>
      </c>
      <c r="D20" t="s">
        <v>44</v>
      </c>
      <c r="E20" t="s">
        <v>20</v>
      </c>
      <c r="F20" t="s">
        <v>66</v>
      </c>
      <c r="G20" t="s">
        <v>67</v>
      </c>
      <c r="H20" t="s">
        <v>100</v>
      </c>
      <c r="I20" t="s">
        <v>127</v>
      </c>
      <c r="J20" t="s">
        <v>67</v>
      </c>
      <c r="K20" s="3">
        <v>5034</v>
      </c>
      <c r="L20" s="3">
        <v>2000</v>
      </c>
      <c r="M20" s="3">
        <v>0</v>
      </c>
      <c r="N20" t="s">
        <v>58</v>
      </c>
      <c r="O20" t="s">
        <v>26</v>
      </c>
      <c r="P20" t="s">
        <v>35</v>
      </c>
      <c r="Q20" t="s">
        <v>35</v>
      </c>
      <c r="R20" s="3">
        <v>140489</v>
      </c>
      <c r="S20" t="str">
        <f>TEXT(personal_finance_dashboard_data_200_rows[[#This Row],[Date]],"mmm")</f>
        <v>Jan</v>
      </c>
      <c r="T20">
        <f>MONTH(personal_finance_dashboard_data_200_rows[[#This Row],[Date]])</f>
        <v>1</v>
      </c>
      <c r="U20" t="str">
        <f>"Q"&amp;ROUNDUP(MONTH(personal_finance_dashboard_data_200_rows[[#This Row],[Date]])/3,0)</f>
        <v>Q1</v>
      </c>
      <c r="V20" t="s">
        <v>345</v>
      </c>
    </row>
    <row r="21" spans="1:22" x14ac:dyDescent="0.3">
      <c r="A21" t="s">
        <v>298</v>
      </c>
      <c r="B21" s="1">
        <v>46043</v>
      </c>
      <c r="C21">
        <v>2026</v>
      </c>
      <c r="D21" t="s">
        <v>19</v>
      </c>
      <c r="E21" t="s">
        <v>20</v>
      </c>
      <c r="F21" t="s">
        <v>61</v>
      </c>
      <c r="G21" t="s">
        <v>62</v>
      </c>
      <c r="H21" t="s">
        <v>100</v>
      </c>
      <c r="I21" t="s">
        <v>63</v>
      </c>
      <c r="J21" t="s">
        <v>62</v>
      </c>
      <c r="K21" s="3">
        <v>5410</v>
      </c>
      <c r="L21" s="3">
        <v>3000</v>
      </c>
      <c r="M21" s="3">
        <v>2000</v>
      </c>
      <c r="N21" t="s">
        <v>25</v>
      </c>
      <c r="O21" t="s">
        <v>26</v>
      </c>
      <c r="P21" t="s">
        <v>27</v>
      </c>
      <c r="Q21" t="s">
        <v>27</v>
      </c>
      <c r="R21" s="3">
        <v>42443</v>
      </c>
      <c r="S21" t="str">
        <f>TEXT(personal_finance_dashboard_data_200_rows[[#This Row],[Date]],"mmm")</f>
        <v>Jan</v>
      </c>
      <c r="T21">
        <f>MONTH(personal_finance_dashboard_data_200_rows[[#This Row],[Date]])</f>
        <v>1</v>
      </c>
      <c r="U21" t="str">
        <f>"Q"&amp;ROUNDUP(MONTH(personal_finance_dashboard_data_200_rows[[#This Row],[Date]])/3,0)</f>
        <v>Q1</v>
      </c>
      <c r="V21" t="s">
        <v>344</v>
      </c>
    </row>
    <row r="22" spans="1:22" x14ac:dyDescent="0.3">
      <c r="A22" t="s">
        <v>233</v>
      </c>
      <c r="B22" s="1">
        <v>46044</v>
      </c>
      <c r="C22">
        <v>2026</v>
      </c>
      <c r="D22" t="s">
        <v>37</v>
      </c>
      <c r="E22" t="s">
        <v>20</v>
      </c>
      <c r="F22" t="s">
        <v>84</v>
      </c>
      <c r="G22" t="s">
        <v>85</v>
      </c>
      <c r="H22" t="s">
        <v>40</v>
      </c>
      <c r="I22" t="s">
        <v>86</v>
      </c>
      <c r="J22" t="s">
        <v>85</v>
      </c>
      <c r="K22" s="3">
        <v>3276</v>
      </c>
      <c r="L22" s="3">
        <v>3000</v>
      </c>
      <c r="M22" s="3">
        <v>2000</v>
      </c>
      <c r="N22" t="s">
        <v>64</v>
      </c>
      <c r="O22" t="s">
        <v>26</v>
      </c>
      <c r="P22" t="s">
        <v>35</v>
      </c>
      <c r="Q22" t="s">
        <v>27</v>
      </c>
      <c r="R22" s="3">
        <v>157241</v>
      </c>
      <c r="S22" t="str">
        <f>TEXT(personal_finance_dashboard_data_200_rows[[#This Row],[Date]],"mmm")</f>
        <v>Jan</v>
      </c>
      <c r="T22">
        <f>MONTH(personal_finance_dashboard_data_200_rows[[#This Row],[Date]])</f>
        <v>1</v>
      </c>
      <c r="U22" t="str">
        <f>"Q"&amp;ROUNDUP(MONTH(personal_finance_dashboard_data_200_rows[[#This Row],[Date]])/3,0)</f>
        <v>Q1</v>
      </c>
      <c r="V22" t="s">
        <v>342</v>
      </c>
    </row>
    <row r="23" spans="1:22" x14ac:dyDescent="0.3">
      <c r="A23" t="s">
        <v>174</v>
      </c>
      <c r="B23" s="1">
        <v>46047</v>
      </c>
      <c r="C23">
        <v>2026</v>
      </c>
      <c r="D23" t="s">
        <v>60</v>
      </c>
      <c r="E23" t="s">
        <v>20</v>
      </c>
      <c r="F23" t="s">
        <v>66</v>
      </c>
      <c r="G23" t="s">
        <v>67</v>
      </c>
      <c r="H23" t="s">
        <v>40</v>
      </c>
      <c r="I23" t="s">
        <v>127</v>
      </c>
      <c r="J23" t="s">
        <v>67</v>
      </c>
      <c r="K23" s="3">
        <v>5769</v>
      </c>
      <c r="L23" s="3">
        <v>2000</v>
      </c>
      <c r="M23" s="3">
        <v>1000</v>
      </c>
      <c r="N23" t="s">
        <v>64</v>
      </c>
      <c r="O23" t="s">
        <v>26</v>
      </c>
      <c r="P23" t="s">
        <v>35</v>
      </c>
      <c r="Q23" t="s">
        <v>35</v>
      </c>
      <c r="R23" s="3">
        <v>155033</v>
      </c>
      <c r="S23" t="str">
        <f>TEXT(personal_finance_dashboard_data_200_rows[[#This Row],[Date]],"mmm")</f>
        <v>Jan</v>
      </c>
      <c r="T23">
        <f>MONTH(personal_finance_dashboard_data_200_rows[[#This Row],[Date]])</f>
        <v>1</v>
      </c>
      <c r="U23" t="str">
        <f>"Q"&amp;ROUNDUP(MONTH(personal_finance_dashboard_data_200_rows[[#This Row],[Date]])/3,0)</f>
        <v>Q1</v>
      </c>
      <c r="V23" t="s">
        <v>343</v>
      </c>
    </row>
    <row r="24" spans="1:22" x14ac:dyDescent="0.3">
      <c r="A24" t="s">
        <v>203</v>
      </c>
      <c r="B24" s="1">
        <v>46047</v>
      </c>
      <c r="C24">
        <v>2026</v>
      </c>
      <c r="D24" t="s">
        <v>37</v>
      </c>
      <c r="E24" t="s">
        <v>20</v>
      </c>
      <c r="F24" t="s">
        <v>45</v>
      </c>
      <c r="G24" t="s">
        <v>46</v>
      </c>
      <c r="H24" t="s">
        <v>100</v>
      </c>
      <c r="I24" t="s">
        <v>96</v>
      </c>
      <c r="J24" t="s">
        <v>46</v>
      </c>
      <c r="K24" s="3">
        <v>18000</v>
      </c>
      <c r="L24" s="3">
        <v>20000</v>
      </c>
      <c r="M24" s="3">
        <v>2000</v>
      </c>
      <c r="N24" t="s">
        <v>42</v>
      </c>
      <c r="O24" t="s">
        <v>26</v>
      </c>
      <c r="P24" t="s">
        <v>35</v>
      </c>
      <c r="Q24" t="s">
        <v>27</v>
      </c>
      <c r="R24" s="3">
        <v>27416</v>
      </c>
      <c r="S24" t="str">
        <f>TEXT(personal_finance_dashboard_data_200_rows[[#This Row],[Date]],"mmm")</f>
        <v>Jan</v>
      </c>
      <c r="T24">
        <f>MONTH(personal_finance_dashboard_data_200_rows[[#This Row],[Date]])</f>
        <v>1</v>
      </c>
      <c r="U24" t="str">
        <f>"Q"&amp;ROUNDUP(MONTH(personal_finance_dashboard_data_200_rows[[#This Row],[Date]])/3,0)</f>
        <v>Q1</v>
      </c>
      <c r="V24" t="s">
        <v>342</v>
      </c>
    </row>
    <row r="25" spans="1:22" x14ac:dyDescent="0.3">
      <c r="A25" t="s">
        <v>275</v>
      </c>
      <c r="B25" s="1">
        <v>46048</v>
      </c>
      <c r="C25">
        <v>2026</v>
      </c>
      <c r="D25" t="s">
        <v>60</v>
      </c>
      <c r="E25" t="s">
        <v>20</v>
      </c>
      <c r="F25" t="s">
        <v>66</v>
      </c>
      <c r="G25" t="s">
        <v>130</v>
      </c>
      <c r="H25" t="s">
        <v>100</v>
      </c>
      <c r="I25" t="s">
        <v>131</v>
      </c>
      <c r="J25" t="s">
        <v>130</v>
      </c>
      <c r="K25" s="3">
        <v>5227</v>
      </c>
      <c r="L25" s="3">
        <v>2000</v>
      </c>
      <c r="M25" s="3">
        <v>2000</v>
      </c>
      <c r="N25" t="s">
        <v>64</v>
      </c>
      <c r="O25" t="s">
        <v>26</v>
      </c>
      <c r="P25" t="s">
        <v>35</v>
      </c>
      <c r="Q25" t="s">
        <v>35</v>
      </c>
      <c r="R25" s="3">
        <v>25254</v>
      </c>
      <c r="S25" t="str">
        <f>TEXT(personal_finance_dashboard_data_200_rows[[#This Row],[Date]],"mmm")</f>
        <v>Jan</v>
      </c>
      <c r="T25">
        <f>MONTH(personal_finance_dashboard_data_200_rows[[#This Row],[Date]])</f>
        <v>1</v>
      </c>
      <c r="U25" t="str">
        <f>"Q"&amp;ROUNDUP(MONTH(personal_finance_dashboard_data_200_rows[[#This Row],[Date]])/3,0)</f>
        <v>Q1</v>
      </c>
      <c r="V25" t="s">
        <v>342</v>
      </c>
    </row>
    <row r="26" spans="1:22" x14ac:dyDescent="0.3">
      <c r="A26" t="s">
        <v>161</v>
      </c>
      <c r="B26" s="1">
        <v>46049</v>
      </c>
      <c r="C26">
        <v>2026</v>
      </c>
      <c r="D26" t="s">
        <v>37</v>
      </c>
      <c r="E26" t="s">
        <v>20</v>
      </c>
      <c r="F26" t="s">
        <v>110</v>
      </c>
      <c r="G26" t="s">
        <v>111</v>
      </c>
      <c r="H26" t="s">
        <v>23</v>
      </c>
      <c r="I26" t="s">
        <v>154</v>
      </c>
      <c r="J26" t="s">
        <v>111</v>
      </c>
      <c r="K26" s="3">
        <v>963</v>
      </c>
      <c r="L26" s="3">
        <v>5000</v>
      </c>
      <c r="M26" s="3">
        <v>0</v>
      </c>
      <c r="N26" t="s">
        <v>64</v>
      </c>
      <c r="O26" t="s">
        <v>26</v>
      </c>
      <c r="P26" t="s">
        <v>35</v>
      </c>
      <c r="Q26" t="s">
        <v>27</v>
      </c>
      <c r="R26" s="3">
        <v>94221</v>
      </c>
      <c r="S26" t="str">
        <f>TEXT(personal_finance_dashboard_data_200_rows[[#This Row],[Date]],"mmm")</f>
        <v>Jan</v>
      </c>
      <c r="T26">
        <f>MONTH(personal_finance_dashboard_data_200_rows[[#This Row],[Date]])</f>
        <v>1</v>
      </c>
      <c r="U26" t="str">
        <f>"Q"&amp;ROUNDUP(MONTH(personal_finance_dashboard_data_200_rows[[#This Row],[Date]])/3,0)</f>
        <v>Q1</v>
      </c>
      <c r="V26" t="s">
        <v>343</v>
      </c>
    </row>
    <row r="27" spans="1:22" x14ac:dyDescent="0.3">
      <c r="A27" t="s">
        <v>202</v>
      </c>
      <c r="B27" s="1">
        <v>46049</v>
      </c>
      <c r="C27">
        <v>2026</v>
      </c>
      <c r="D27" t="s">
        <v>44</v>
      </c>
      <c r="E27" t="s">
        <v>20</v>
      </c>
      <c r="F27" t="s">
        <v>66</v>
      </c>
      <c r="G27" t="s">
        <v>67</v>
      </c>
      <c r="H27" t="s">
        <v>40</v>
      </c>
      <c r="I27" t="s">
        <v>69</v>
      </c>
      <c r="J27" t="s">
        <v>67</v>
      </c>
      <c r="K27" s="3">
        <v>13546</v>
      </c>
      <c r="L27" s="3">
        <v>2000</v>
      </c>
      <c r="M27" s="3">
        <v>0</v>
      </c>
      <c r="N27" t="s">
        <v>48</v>
      </c>
      <c r="O27" t="s">
        <v>26</v>
      </c>
      <c r="P27" t="s">
        <v>35</v>
      </c>
      <c r="Q27" t="s">
        <v>35</v>
      </c>
      <c r="R27" s="3">
        <v>45416</v>
      </c>
      <c r="S27" t="str">
        <f>TEXT(personal_finance_dashboard_data_200_rows[[#This Row],[Date]],"mmm")</f>
        <v>Jan</v>
      </c>
      <c r="T27">
        <f>MONTH(personal_finance_dashboard_data_200_rows[[#This Row],[Date]])</f>
        <v>1</v>
      </c>
      <c r="U27" t="str">
        <f>"Q"&amp;ROUNDUP(MONTH(personal_finance_dashboard_data_200_rows[[#This Row],[Date]])/3,0)</f>
        <v>Q1</v>
      </c>
      <c r="V27" t="s">
        <v>345</v>
      </c>
    </row>
    <row r="28" spans="1:22" x14ac:dyDescent="0.3">
      <c r="A28" t="s">
        <v>216</v>
      </c>
      <c r="B28" s="1">
        <v>46053</v>
      </c>
      <c r="C28">
        <v>2026</v>
      </c>
      <c r="D28" t="s">
        <v>44</v>
      </c>
      <c r="E28" t="s">
        <v>20</v>
      </c>
      <c r="F28" t="s">
        <v>84</v>
      </c>
      <c r="G28" t="s">
        <v>85</v>
      </c>
      <c r="H28" t="s">
        <v>32</v>
      </c>
      <c r="I28" t="s">
        <v>86</v>
      </c>
      <c r="J28" t="s">
        <v>85</v>
      </c>
      <c r="K28" s="3">
        <v>9263</v>
      </c>
      <c r="L28" s="3">
        <v>3000</v>
      </c>
      <c r="M28" s="3">
        <v>0</v>
      </c>
      <c r="N28" t="s">
        <v>48</v>
      </c>
      <c r="O28" t="s">
        <v>26</v>
      </c>
      <c r="P28" t="s">
        <v>35</v>
      </c>
      <c r="Q28" t="s">
        <v>27</v>
      </c>
      <c r="R28" s="3">
        <v>51014</v>
      </c>
      <c r="S28" t="str">
        <f>TEXT(personal_finance_dashboard_data_200_rows[[#This Row],[Date]],"mmm")</f>
        <v>Jan</v>
      </c>
      <c r="T28">
        <f>MONTH(personal_finance_dashboard_data_200_rows[[#This Row],[Date]])</f>
        <v>1</v>
      </c>
      <c r="U28" t="str">
        <f>"Q"&amp;ROUNDUP(MONTH(personal_finance_dashboard_data_200_rows[[#This Row],[Date]])/3,0)</f>
        <v>Q1</v>
      </c>
      <c r="V28" t="s">
        <v>342</v>
      </c>
    </row>
    <row r="29" spans="1:22" x14ac:dyDescent="0.3">
      <c r="A29" t="s">
        <v>303</v>
      </c>
      <c r="B29" s="1">
        <v>46054</v>
      </c>
      <c r="C29">
        <v>2026</v>
      </c>
      <c r="D29" t="s">
        <v>37</v>
      </c>
      <c r="E29" t="s">
        <v>20</v>
      </c>
      <c r="F29" t="s">
        <v>110</v>
      </c>
      <c r="G29" t="s">
        <v>111</v>
      </c>
      <c r="H29" t="s">
        <v>32</v>
      </c>
      <c r="I29" t="s">
        <v>236</v>
      </c>
      <c r="J29" t="s">
        <v>111</v>
      </c>
      <c r="K29" s="3">
        <v>613</v>
      </c>
      <c r="L29" s="3">
        <v>5000</v>
      </c>
      <c r="M29" s="3">
        <v>1000</v>
      </c>
      <c r="N29" t="s">
        <v>48</v>
      </c>
      <c r="O29" t="s">
        <v>26</v>
      </c>
      <c r="P29" t="s">
        <v>27</v>
      </c>
      <c r="Q29" t="s">
        <v>27</v>
      </c>
      <c r="R29" s="3">
        <v>22664</v>
      </c>
      <c r="S29" t="str">
        <f>TEXT(personal_finance_dashboard_data_200_rows[[#This Row],[Date]],"mmm")</f>
        <v>Feb</v>
      </c>
      <c r="T29">
        <f>MONTH(personal_finance_dashboard_data_200_rows[[#This Row],[Date]])</f>
        <v>2</v>
      </c>
      <c r="U29" t="str">
        <f>"Q"&amp;ROUNDUP(MONTH(personal_finance_dashboard_data_200_rows[[#This Row],[Date]])/3,0)</f>
        <v>Q1</v>
      </c>
      <c r="V29" t="s">
        <v>343</v>
      </c>
    </row>
    <row r="30" spans="1:22" x14ac:dyDescent="0.3">
      <c r="A30" t="s">
        <v>136</v>
      </c>
      <c r="B30" s="1">
        <v>46055</v>
      </c>
      <c r="C30">
        <v>2026</v>
      </c>
      <c r="D30" t="s">
        <v>60</v>
      </c>
      <c r="E30" t="s">
        <v>20</v>
      </c>
      <c r="F30" t="s">
        <v>61</v>
      </c>
      <c r="G30" t="s">
        <v>114</v>
      </c>
      <c r="H30" t="s">
        <v>52</v>
      </c>
      <c r="I30" t="s">
        <v>137</v>
      </c>
      <c r="J30" t="s">
        <v>114</v>
      </c>
      <c r="K30" s="3">
        <v>15002</v>
      </c>
      <c r="L30" s="3">
        <v>3000</v>
      </c>
      <c r="M30" s="3">
        <v>2000</v>
      </c>
      <c r="N30" t="s">
        <v>58</v>
      </c>
      <c r="O30" t="s">
        <v>26</v>
      </c>
      <c r="P30" t="s">
        <v>35</v>
      </c>
      <c r="Q30" t="s">
        <v>27</v>
      </c>
      <c r="R30" s="3">
        <v>163104</v>
      </c>
      <c r="S30" t="str">
        <f>TEXT(personal_finance_dashboard_data_200_rows[[#This Row],[Date]],"mmm")</f>
        <v>Feb</v>
      </c>
      <c r="T30">
        <f>MONTH(personal_finance_dashboard_data_200_rows[[#This Row],[Date]])</f>
        <v>2</v>
      </c>
      <c r="U30" t="str">
        <f>"Q"&amp;ROUNDUP(MONTH(personal_finance_dashboard_data_200_rows[[#This Row],[Date]])/3,0)</f>
        <v>Q1</v>
      </c>
      <c r="V30" t="s">
        <v>342</v>
      </c>
    </row>
    <row r="31" spans="1:22" x14ac:dyDescent="0.3">
      <c r="A31" t="s">
        <v>234</v>
      </c>
      <c r="B31" s="1">
        <v>46056</v>
      </c>
      <c r="C31">
        <v>2026</v>
      </c>
      <c r="D31" t="s">
        <v>19</v>
      </c>
      <c r="E31" t="s">
        <v>20</v>
      </c>
      <c r="F31" t="s">
        <v>61</v>
      </c>
      <c r="G31" t="s">
        <v>114</v>
      </c>
      <c r="H31" t="s">
        <v>40</v>
      </c>
      <c r="I31" t="s">
        <v>115</v>
      </c>
      <c r="J31" t="s">
        <v>114</v>
      </c>
      <c r="K31" s="3">
        <v>1097</v>
      </c>
      <c r="L31" s="3">
        <v>3000</v>
      </c>
      <c r="M31" s="3">
        <v>0</v>
      </c>
      <c r="N31" t="s">
        <v>42</v>
      </c>
      <c r="O31" t="s">
        <v>26</v>
      </c>
      <c r="P31" t="s">
        <v>27</v>
      </c>
      <c r="Q31" t="s">
        <v>27</v>
      </c>
      <c r="R31" s="3">
        <v>156144</v>
      </c>
      <c r="S31" t="str">
        <f>TEXT(personal_finance_dashboard_data_200_rows[[#This Row],[Date]],"mmm")</f>
        <v>Feb</v>
      </c>
      <c r="T31">
        <f>MONTH(personal_finance_dashboard_data_200_rows[[#This Row],[Date]])</f>
        <v>2</v>
      </c>
      <c r="U31" t="str">
        <f>"Q"&amp;ROUNDUP(MONTH(personal_finance_dashboard_data_200_rows[[#This Row],[Date]])/3,0)</f>
        <v>Q1</v>
      </c>
      <c r="V31" t="s">
        <v>345</v>
      </c>
    </row>
    <row r="32" spans="1:22" x14ac:dyDescent="0.3">
      <c r="A32" t="s">
        <v>264</v>
      </c>
      <c r="B32" s="1">
        <v>46057</v>
      </c>
      <c r="C32">
        <v>2026</v>
      </c>
      <c r="D32" t="s">
        <v>60</v>
      </c>
      <c r="E32" t="s">
        <v>20</v>
      </c>
      <c r="F32" t="s">
        <v>45</v>
      </c>
      <c r="G32" t="s">
        <v>46</v>
      </c>
      <c r="H32" t="s">
        <v>40</v>
      </c>
      <c r="I32" t="s">
        <v>96</v>
      </c>
      <c r="J32" t="s">
        <v>46</v>
      </c>
      <c r="K32" s="3">
        <v>18000</v>
      </c>
      <c r="L32" s="3">
        <v>20000</v>
      </c>
      <c r="M32" s="3">
        <v>0</v>
      </c>
      <c r="N32" t="s">
        <v>48</v>
      </c>
      <c r="O32" t="s">
        <v>26</v>
      </c>
      <c r="P32" t="s">
        <v>35</v>
      </c>
      <c r="Q32" t="s">
        <v>27</v>
      </c>
      <c r="R32" s="3">
        <v>131611</v>
      </c>
      <c r="S32" t="str">
        <f>TEXT(personal_finance_dashboard_data_200_rows[[#This Row],[Date]],"mmm")</f>
        <v>Feb</v>
      </c>
      <c r="T32">
        <f>MONTH(personal_finance_dashboard_data_200_rows[[#This Row],[Date]])</f>
        <v>2</v>
      </c>
      <c r="U32" t="str">
        <f>"Q"&amp;ROUNDUP(MONTH(personal_finance_dashboard_data_200_rows[[#This Row],[Date]])/3,0)</f>
        <v>Q1</v>
      </c>
      <c r="V32" t="s">
        <v>345</v>
      </c>
    </row>
    <row r="33" spans="1:22" x14ac:dyDescent="0.3">
      <c r="A33" t="s">
        <v>290</v>
      </c>
      <c r="B33" s="1">
        <v>46058</v>
      </c>
      <c r="C33">
        <v>2026</v>
      </c>
      <c r="D33" t="s">
        <v>60</v>
      </c>
      <c r="E33" t="s">
        <v>29</v>
      </c>
      <c r="F33" t="s">
        <v>30</v>
      </c>
      <c r="G33" t="s">
        <v>31</v>
      </c>
      <c r="H33" t="s">
        <v>100</v>
      </c>
      <c r="I33" t="s">
        <v>33</v>
      </c>
      <c r="J33" t="s">
        <v>34</v>
      </c>
      <c r="K33" s="3">
        <v>60000</v>
      </c>
      <c r="L33" s="3">
        <v>0</v>
      </c>
      <c r="M33" s="3">
        <v>2000</v>
      </c>
      <c r="N33" t="s">
        <v>64</v>
      </c>
      <c r="O33" t="s">
        <v>26</v>
      </c>
      <c r="P33" t="s">
        <v>35</v>
      </c>
      <c r="Q33" t="s">
        <v>35</v>
      </c>
      <c r="R33" s="3">
        <v>94999</v>
      </c>
      <c r="S33" t="str">
        <f>TEXT(personal_finance_dashboard_data_200_rows[[#This Row],[Date]],"mmm")</f>
        <v>Feb</v>
      </c>
      <c r="T33">
        <f>MONTH(personal_finance_dashboard_data_200_rows[[#This Row],[Date]])</f>
        <v>2</v>
      </c>
      <c r="U33" t="str">
        <f>"Q"&amp;ROUNDUP(MONTH(personal_finance_dashboard_data_200_rows[[#This Row],[Date]])/3,0)</f>
        <v>Q1</v>
      </c>
      <c r="V33" t="s">
        <v>344</v>
      </c>
    </row>
    <row r="34" spans="1:22" x14ac:dyDescent="0.3">
      <c r="A34" t="s">
        <v>302</v>
      </c>
      <c r="B34" s="1">
        <v>46058</v>
      </c>
      <c r="C34">
        <v>2026</v>
      </c>
      <c r="D34" t="s">
        <v>60</v>
      </c>
      <c r="E34" t="s">
        <v>20</v>
      </c>
      <c r="F34" t="s">
        <v>84</v>
      </c>
      <c r="G34" t="s">
        <v>85</v>
      </c>
      <c r="H34" t="s">
        <v>68</v>
      </c>
      <c r="I34" t="s">
        <v>86</v>
      </c>
      <c r="J34" t="s">
        <v>85</v>
      </c>
      <c r="K34" s="3">
        <v>12869</v>
      </c>
      <c r="L34" s="3">
        <v>3000</v>
      </c>
      <c r="M34" s="3">
        <v>0</v>
      </c>
      <c r="N34" t="s">
        <v>64</v>
      </c>
      <c r="O34" t="s">
        <v>26</v>
      </c>
      <c r="P34" t="s">
        <v>35</v>
      </c>
      <c r="Q34" t="s">
        <v>27</v>
      </c>
      <c r="R34" s="3">
        <v>23277</v>
      </c>
      <c r="S34" t="str">
        <f>TEXT(personal_finance_dashboard_data_200_rows[[#This Row],[Date]],"mmm")</f>
        <v>Feb</v>
      </c>
      <c r="T34">
        <f>MONTH(personal_finance_dashboard_data_200_rows[[#This Row],[Date]])</f>
        <v>2</v>
      </c>
      <c r="U34" t="str">
        <f>"Q"&amp;ROUNDUP(MONTH(personal_finance_dashboard_data_200_rows[[#This Row],[Date]])/3,0)</f>
        <v>Q1</v>
      </c>
      <c r="V34" t="s">
        <v>345</v>
      </c>
    </row>
    <row r="35" spans="1:22" x14ac:dyDescent="0.3">
      <c r="A35" t="s">
        <v>70</v>
      </c>
      <c r="B35" s="1">
        <v>46059</v>
      </c>
      <c r="C35">
        <v>2026</v>
      </c>
      <c r="D35" t="s">
        <v>37</v>
      </c>
      <c r="E35" t="s">
        <v>20</v>
      </c>
      <c r="F35" t="s">
        <v>38</v>
      </c>
      <c r="G35" t="s">
        <v>71</v>
      </c>
      <c r="H35" t="s">
        <v>52</v>
      </c>
      <c r="I35" t="s">
        <v>72</v>
      </c>
      <c r="J35" t="s">
        <v>71</v>
      </c>
      <c r="K35" s="3">
        <v>14538</v>
      </c>
      <c r="L35" s="3">
        <v>8000</v>
      </c>
      <c r="M35" s="3">
        <v>500</v>
      </c>
      <c r="N35" t="s">
        <v>42</v>
      </c>
      <c r="O35" t="s">
        <v>26</v>
      </c>
      <c r="P35" t="s">
        <v>27</v>
      </c>
      <c r="Q35" t="s">
        <v>35</v>
      </c>
      <c r="R35" s="3">
        <v>12</v>
      </c>
      <c r="S35" t="str">
        <f>TEXT(personal_finance_dashboard_data_200_rows[[#This Row],[Date]],"mmm")</f>
        <v>Feb</v>
      </c>
      <c r="T35">
        <f>MONTH(personal_finance_dashboard_data_200_rows[[#This Row],[Date]])</f>
        <v>2</v>
      </c>
      <c r="U35" t="str">
        <f>"Q"&amp;ROUNDUP(MONTH(personal_finance_dashboard_data_200_rows[[#This Row],[Date]])/3,0)</f>
        <v>Q1</v>
      </c>
      <c r="V35" t="s">
        <v>343</v>
      </c>
    </row>
    <row r="36" spans="1:22" x14ac:dyDescent="0.3">
      <c r="A36" t="s">
        <v>245</v>
      </c>
      <c r="B36" s="1">
        <v>46060</v>
      </c>
      <c r="C36">
        <v>2026</v>
      </c>
      <c r="D36" t="s">
        <v>44</v>
      </c>
      <c r="E36" t="s">
        <v>29</v>
      </c>
      <c r="F36" t="s">
        <v>30</v>
      </c>
      <c r="G36" t="s">
        <v>31</v>
      </c>
      <c r="H36" t="s">
        <v>23</v>
      </c>
      <c r="I36" t="s">
        <v>33</v>
      </c>
      <c r="J36" t="s">
        <v>34</v>
      </c>
      <c r="K36" s="3">
        <v>50000</v>
      </c>
      <c r="L36" s="3">
        <v>0</v>
      </c>
      <c r="M36" s="3">
        <v>5000</v>
      </c>
      <c r="N36" t="s">
        <v>97</v>
      </c>
      <c r="O36" t="s">
        <v>26</v>
      </c>
      <c r="P36" t="s">
        <v>35</v>
      </c>
      <c r="Q36" t="s">
        <v>35</v>
      </c>
      <c r="R36" s="3">
        <v>211723</v>
      </c>
      <c r="S36" t="str">
        <f>TEXT(personal_finance_dashboard_data_200_rows[[#This Row],[Date]],"mmm")</f>
        <v>Feb</v>
      </c>
      <c r="T36">
        <f>MONTH(personal_finance_dashboard_data_200_rows[[#This Row],[Date]])</f>
        <v>2</v>
      </c>
      <c r="U36" t="str">
        <f>"Q"&amp;ROUNDUP(MONTH(personal_finance_dashboard_data_200_rows[[#This Row],[Date]])/3,0)</f>
        <v>Q1</v>
      </c>
      <c r="V36" t="s">
        <v>345</v>
      </c>
    </row>
    <row r="37" spans="1:22" x14ac:dyDescent="0.3">
      <c r="A37" t="s">
        <v>133</v>
      </c>
      <c r="B37" s="1">
        <v>46061</v>
      </c>
      <c r="C37">
        <v>2026</v>
      </c>
      <c r="D37" t="s">
        <v>19</v>
      </c>
      <c r="E37" t="s">
        <v>20</v>
      </c>
      <c r="F37" t="s">
        <v>92</v>
      </c>
      <c r="G37" t="s">
        <v>93</v>
      </c>
      <c r="H37" t="s">
        <v>68</v>
      </c>
      <c r="I37" t="s">
        <v>94</v>
      </c>
      <c r="J37" t="s">
        <v>93</v>
      </c>
      <c r="K37" s="3">
        <v>15423</v>
      </c>
      <c r="L37" s="3">
        <v>5000</v>
      </c>
      <c r="M37" s="3">
        <v>2000</v>
      </c>
      <c r="N37" t="s">
        <v>25</v>
      </c>
      <c r="O37" t="s">
        <v>26</v>
      </c>
      <c r="P37" t="s">
        <v>35</v>
      </c>
      <c r="Q37" t="s">
        <v>27</v>
      </c>
      <c r="R37" s="3">
        <v>163106</v>
      </c>
      <c r="S37" t="str">
        <f>TEXT(personal_finance_dashboard_data_200_rows[[#This Row],[Date]],"mmm")</f>
        <v>Feb</v>
      </c>
      <c r="T37">
        <f>MONTH(personal_finance_dashboard_data_200_rows[[#This Row],[Date]])</f>
        <v>2</v>
      </c>
      <c r="U37" t="str">
        <f>"Q"&amp;ROUNDUP(MONTH(personal_finance_dashboard_data_200_rows[[#This Row],[Date]])/3,0)</f>
        <v>Q1</v>
      </c>
      <c r="V37" t="s">
        <v>342</v>
      </c>
    </row>
    <row r="38" spans="1:22" x14ac:dyDescent="0.3">
      <c r="A38" t="s">
        <v>165</v>
      </c>
      <c r="B38" s="1">
        <v>46062</v>
      </c>
      <c r="C38">
        <v>2026</v>
      </c>
      <c r="D38" t="s">
        <v>44</v>
      </c>
      <c r="E38" t="s">
        <v>20</v>
      </c>
      <c r="F38" t="s">
        <v>74</v>
      </c>
      <c r="G38" t="s">
        <v>166</v>
      </c>
      <c r="H38" t="s">
        <v>52</v>
      </c>
      <c r="I38" t="s">
        <v>167</v>
      </c>
      <c r="J38" t="s">
        <v>166</v>
      </c>
      <c r="K38" s="3">
        <v>7895</v>
      </c>
      <c r="L38" s="3">
        <v>10000</v>
      </c>
      <c r="M38" s="3">
        <v>1000</v>
      </c>
      <c r="N38" t="s">
        <v>25</v>
      </c>
      <c r="O38" t="s">
        <v>26</v>
      </c>
      <c r="P38" t="s">
        <v>27</v>
      </c>
      <c r="Q38" t="s">
        <v>27</v>
      </c>
      <c r="R38" s="3">
        <v>82784</v>
      </c>
      <c r="S38" t="str">
        <f>TEXT(personal_finance_dashboard_data_200_rows[[#This Row],[Date]],"mmm")</f>
        <v>Feb</v>
      </c>
      <c r="T38">
        <f>MONTH(personal_finance_dashboard_data_200_rows[[#This Row],[Date]])</f>
        <v>2</v>
      </c>
      <c r="U38" t="str">
        <f>"Q"&amp;ROUNDUP(MONTH(personal_finance_dashboard_data_200_rows[[#This Row],[Date]])/3,0)</f>
        <v>Q1</v>
      </c>
      <c r="V38" t="s">
        <v>343</v>
      </c>
    </row>
    <row r="39" spans="1:22" x14ac:dyDescent="0.3">
      <c r="A39" t="s">
        <v>102</v>
      </c>
      <c r="B39" s="1">
        <v>46063</v>
      </c>
      <c r="C39">
        <v>2026</v>
      </c>
      <c r="D39" t="s">
        <v>37</v>
      </c>
      <c r="E39" t="s">
        <v>29</v>
      </c>
      <c r="F39" t="s">
        <v>30</v>
      </c>
      <c r="G39" t="s">
        <v>31</v>
      </c>
      <c r="H39" t="s">
        <v>23</v>
      </c>
      <c r="I39" t="s">
        <v>33</v>
      </c>
      <c r="J39" t="s">
        <v>34</v>
      </c>
      <c r="K39" s="3">
        <v>55000</v>
      </c>
      <c r="L39" s="3">
        <v>0</v>
      </c>
      <c r="M39" s="3">
        <v>0</v>
      </c>
      <c r="N39" t="s">
        <v>64</v>
      </c>
      <c r="O39" t="s">
        <v>26</v>
      </c>
      <c r="P39" t="s">
        <v>35</v>
      </c>
      <c r="Q39" t="s">
        <v>35</v>
      </c>
      <c r="R39" s="3">
        <v>5128</v>
      </c>
      <c r="S39" t="str">
        <f>TEXT(personal_finance_dashboard_data_200_rows[[#This Row],[Date]],"mmm")</f>
        <v>Feb</v>
      </c>
      <c r="T39">
        <f>MONTH(personal_finance_dashboard_data_200_rows[[#This Row],[Date]])</f>
        <v>2</v>
      </c>
      <c r="U39" t="str">
        <f>"Q"&amp;ROUNDUP(MONTH(personal_finance_dashboard_data_200_rows[[#This Row],[Date]])/3,0)</f>
        <v>Q1</v>
      </c>
      <c r="V39" t="s">
        <v>344</v>
      </c>
    </row>
    <row r="40" spans="1:22" x14ac:dyDescent="0.3">
      <c r="A40" t="s">
        <v>219</v>
      </c>
      <c r="B40" s="1">
        <v>46063</v>
      </c>
      <c r="C40">
        <v>2026</v>
      </c>
      <c r="D40" t="s">
        <v>37</v>
      </c>
      <c r="E40" t="s">
        <v>29</v>
      </c>
      <c r="F40" t="s">
        <v>30</v>
      </c>
      <c r="G40" t="s">
        <v>31</v>
      </c>
      <c r="H40" t="s">
        <v>32</v>
      </c>
      <c r="I40" t="s">
        <v>33</v>
      </c>
      <c r="J40" t="s">
        <v>34</v>
      </c>
      <c r="K40" s="3">
        <v>60000</v>
      </c>
      <c r="L40" s="3">
        <v>0</v>
      </c>
      <c r="M40" s="3">
        <v>10000</v>
      </c>
      <c r="N40" t="s">
        <v>48</v>
      </c>
      <c r="O40" t="s">
        <v>26</v>
      </c>
      <c r="P40" t="s">
        <v>35</v>
      </c>
      <c r="Q40" t="s">
        <v>35</v>
      </c>
      <c r="R40" s="3">
        <v>144885</v>
      </c>
      <c r="S40" t="str">
        <f>TEXT(personal_finance_dashboard_data_200_rows[[#This Row],[Date]],"mmm")</f>
        <v>Feb</v>
      </c>
      <c r="T40">
        <f>MONTH(personal_finance_dashboard_data_200_rows[[#This Row],[Date]])</f>
        <v>2</v>
      </c>
      <c r="U40" t="str">
        <f>"Q"&amp;ROUNDUP(MONTH(personal_finance_dashboard_data_200_rows[[#This Row],[Date]])/3,0)</f>
        <v>Q1</v>
      </c>
      <c r="V40" t="s">
        <v>343</v>
      </c>
    </row>
    <row r="41" spans="1:22" x14ac:dyDescent="0.3">
      <c r="A41" t="s">
        <v>138</v>
      </c>
      <c r="B41" s="1">
        <v>46064</v>
      </c>
      <c r="C41">
        <v>2026</v>
      </c>
      <c r="D41" t="s">
        <v>60</v>
      </c>
      <c r="E41" t="s">
        <v>20</v>
      </c>
      <c r="F41" t="s">
        <v>21</v>
      </c>
      <c r="G41" t="s">
        <v>56</v>
      </c>
      <c r="H41" t="s">
        <v>68</v>
      </c>
      <c r="I41" t="s">
        <v>139</v>
      </c>
      <c r="J41" t="s">
        <v>56</v>
      </c>
      <c r="K41" s="3">
        <v>17581</v>
      </c>
      <c r="L41" s="3">
        <v>4000</v>
      </c>
      <c r="M41" s="3">
        <v>0</v>
      </c>
      <c r="N41" t="s">
        <v>97</v>
      </c>
      <c r="O41" t="s">
        <v>26</v>
      </c>
      <c r="P41" t="s">
        <v>35</v>
      </c>
      <c r="Q41" t="s">
        <v>27</v>
      </c>
      <c r="R41" s="3">
        <v>145523</v>
      </c>
      <c r="S41" t="str">
        <f>TEXT(personal_finance_dashboard_data_200_rows[[#This Row],[Date]],"mmm")</f>
        <v>Feb</v>
      </c>
      <c r="T41">
        <f>MONTH(personal_finance_dashboard_data_200_rows[[#This Row],[Date]])</f>
        <v>2</v>
      </c>
      <c r="U41" t="str">
        <f>"Q"&amp;ROUNDUP(MONTH(personal_finance_dashboard_data_200_rows[[#This Row],[Date]])/3,0)</f>
        <v>Q1</v>
      </c>
      <c r="V41" t="s">
        <v>342</v>
      </c>
    </row>
    <row r="42" spans="1:22" x14ac:dyDescent="0.3">
      <c r="A42" t="s">
        <v>259</v>
      </c>
      <c r="B42" s="1">
        <v>46064</v>
      </c>
      <c r="C42">
        <v>2026</v>
      </c>
      <c r="D42" t="s">
        <v>37</v>
      </c>
      <c r="E42" t="s">
        <v>20</v>
      </c>
      <c r="F42" t="s">
        <v>74</v>
      </c>
      <c r="G42" t="s">
        <v>75</v>
      </c>
      <c r="H42" t="s">
        <v>100</v>
      </c>
      <c r="I42" t="s">
        <v>260</v>
      </c>
      <c r="J42" t="s">
        <v>75</v>
      </c>
      <c r="K42" s="3">
        <v>5050</v>
      </c>
      <c r="L42" s="3">
        <v>10000</v>
      </c>
      <c r="M42" s="3">
        <v>0</v>
      </c>
      <c r="N42" t="s">
        <v>64</v>
      </c>
      <c r="O42" t="s">
        <v>26</v>
      </c>
      <c r="P42" t="s">
        <v>27</v>
      </c>
      <c r="Q42" t="s">
        <v>27</v>
      </c>
      <c r="R42" s="3">
        <v>178921</v>
      </c>
      <c r="S42" t="str">
        <f>TEXT(personal_finance_dashboard_data_200_rows[[#This Row],[Date]],"mmm")</f>
        <v>Feb</v>
      </c>
      <c r="T42">
        <f>MONTH(personal_finance_dashboard_data_200_rows[[#This Row],[Date]])</f>
        <v>2</v>
      </c>
      <c r="U42" t="str">
        <f>"Q"&amp;ROUNDUP(MONTH(personal_finance_dashboard_data_200_rows[[#This Row],[Date]])/3,0)</f>
        <v>Q1</v>
      </c>
      <c r="V42" t="s">
        <v>342</v>
      </c>
    </row>
    <row r="43" spans="1:22" x14ac:dyDescent="0.3">
      <c r="A43" t="s">
        <v>271</v>
      </c>
      <c r="B43" s="1">
        <v>46064</v>
      </c>
      <c r="C43">
        <v>2026</v>
      </c>
      <c r="D43" t="s">
        <v>44</v>
      </c>
      <c r="E43" t="s">
        <v>20</v>
      </c>
      <c r="F43" t="s">
        <v>21</v>
      </c>
      <c r="G43" t="s">
        <v>22</v>
      </c>
      <c r="H43" t="s">
        <v>52</v>
      </c>
      <c r="I43" t="s">
        <v>118</v>
      </c>
      <c r="J43" t="s">
        <v>22</v>
      </c>
      <c r="K43" s="3">
        <v>16827</v>
      </c>
      <c r="L43" s="3">
        <v>4000</v>
      </c>
      <c r="M43" s="3">
        <v>1000</v>
      </c>
      <c r="N43" t="s">
        <v>48</v>
      </c>
      <c r="O43" t="s">
        <v>26</v>
      </c>
      <c r="P43" t="s">
        <v>27</v>
      </c>
      <c r="Q43" t="s">
        <v>27</v>
      </c>
      <c r="R43" s="3">
        <v>72052</v>
      </c>
      <c r="S43" t="str">
        <f>TEXT(personal_finance_dashboard_data_200_rows[[#This Row],[Date]],"mmm")</f>
        <v>Feb</v>
      </c>
      <c r="T43">
        <f>MONTH(personal_finance_dashboard_data_200_rows[[#This Row],[Date]])</f>
        <v>2</v>
      </c>
      <c r="U43" t="str">
        <f>"Q"&amp;ROUNDUP(MONTH(personal_finance_dashboard_data_200_rows[[#This Row],[Date]])/3,0)</f>
        <v>Q1</v>
      </c>
      <c r="V43" t="s">
        <v>343</v>
      </c>
    </row>
    <row r="44" spans="1:22" x14ac:dyDescent="0.3">
      <c r="A44" t="s">
        <v>277</v>
      </c>
      <c r="B44" s="1">
        <v>46065</v>
      </c>
      <c r="C44">
        <v>2026</v>
      </c>
      <c r="D44" t="s">
        <v>60</v>
      </c>
      <c r="E44" t="s">
        <v>20</v>
      </c>
      <c r="F44" t="s">
        <v>38</v>
      </c>
      <c r="G44" t="s">
        <v>71</v>
      </c>
      <c r="H44" t="s">
        <v>52</v>
      </c>
      <c r="I44" t="s">
        <v>147</v>
      </c>
      <c r="J44" t="s">
        <v>71</v>
      </c>
      <c r="K44" s="3">
        <v>11522</v>
      </c>
      <c r="L44" s="3">
        <v>8000</v>
      </c>
      <c r="M44" s="3">
        <v>2000</v>
      </c>
      <c r="N44" t="s">
        <v>48</v>
      </c>
      <c r="O44" t="s">
        <v>26</v>
      </c>
      <c r="P44" t="s">
        <v>35</v>
      </c>
      <c r="Q44" t="s">
        <v>35</v>
      </c>
      <c r="R44" s="3">
        <v>8352</v>
      </c>
      <c r="S44" t="str">
        <f>TEXT(personal_finance_dashboard_data_200_rows[[#This Row],[Date]],"mmm")</f>
        <v>Feb</v>
      </c>
      <c r="T44">
        <f>MONTH(personal_finance_dashboard_data_200_rows[[#This Row],[Date]])</f>
        <v>2</v>
      </c>
      <c r="U44" t="str">
        <f>"Q"&amp;ROUNDUP(MONTH(personal_finance_dashboard_data_200_rows[[#This Row],[Date]])/3,0)</f>
        <v>Q1</v>
      </c>
      <c r="V44" t="s">
        <v>342</v>
      </c>
    </row>
    <row r="45" spans="1:22" x14ac:dyDescent="0.3">
      <c r="A45" t="s">
        <v>195</v>
      </c>
      <c r="B45" s="1">
        <v>46066</v>
      </c>
      <c r="C45">
        <v>2026</v>
      </c>
      <c r="D45" t="s">
        <v>44</v>
      </c>
      <c r="E45" t="s">
        <v>20</v>
      </c>
      <c r="F45" t="s">
        <v>38</v>
      </c>
      <c r="G45" t="s">
        <v>71</v>
      </c>
      <c r="H45" t="s">
        <v>32</v>
      </c>
      <c r="I45" t="s">
        <v>72</v>
      </c>
      <c r="J45" t="s">
        <v>71</v>
      </c>
      <c r="K45" s="3">
        <v>11599</v>
      </c>
      <c r="L45" s="3">
        <v>8000</v>
      </c>
      <c r="M45" s="3">
        <v>0</v>
      </c>
      <c r="N45" t="s">
        <v>97</v>
      </c>
      <c r="O45" t="s">
        <v>26</v>
      </c>
      <c r="P45" t="s">
        <v>27</v>
      </c>
      <c r="Q45" t="s">
        <v>35</v>
      </c>
      <c r="R45" s="3">
        <v>116043</v>
      </c>
      <c r="S45" t="str">
        <f>TEXT(personal_finance_dashboard_data_200_rows[[#This Row],[Date]],"mmm")</f>
        <v>Feb</v>
      </c>
      <c r="T45">
        <f>MONTH(personal_finance_dashboard_data_200_rows[[#This Row],[Date]])</f>
        <v>2</v>
      </c>
      <c r="U45" t="str">
        <f>"Q"&amp;ROUNDUP(MONTH(personal_finance_dashboard_data_200_rows[[#This Row],[Date]])/3,0)</f>
        <v>Q1</v>
      </c>
      <c r="V45" t="s">
        <v>343</v>
      </c>
    </row>
    <row r="46" spans="1:22" x14ac:dyDescent="0.3">
      <c r="A46" t="s">
        <v>253</v>
      </c>
      <c r="B46" s="1">
        <v>46066</v>
      </c>
      <c r="C46">
        <v>2026</v>
      </c>
      <c r="D46" t="s">
        <v>60</v>
      </c>
      <c r="E46" t="s">
        <v>20</v>
      </c>
      <c r="F46" t="s">
        <v>66</v>
      </c>
      <c r="G46" t="s">
        <v>130</v>
      </c>
      <c r="H46" t="s">
        <v>23</v>
      </c>
      <c r="I46" t="s">
        <v>69</v>
      </c>
      <c r="J46" t="s">
        <v>130</v>
      </c>
      <c r="K46" s="3">
        <v>9496</v>
      </c>
      <c r="L46" s="3">
        <v>2000</v>
      </c>
      <c r="M46" s="3">
        <v>0</v>
      </c>
      <c r="N46" t="s">
        <v>64</v>
      </c>
      <c r="O46" t="s">
        <v>26</v>
      </c>
      <c r="P46" t="s">
        <v>35</v>
      </c>
      <c r="Q46" t="s">
        <v>35</v>
      </c>
      <c r="R46" s="3">
        <v>149789</v>
      </c>
      <c r="S46" t="str">
        <f>TEXT(personal_finance_dashboard_data_200_rows[[#This Row],[Date]],"mmm")</f>
        <v>Feb</v>
      </c>
      <c r="T46">
        <f>MONTH(personal_finance_dashboard_data_200_rows[[#This Row],[Date]])</f>
        <v>2</v>
      </c>
      <c r="U46" t="str">
        <f>"Q"&amp;ROUNDUP(MONTH(personal_finance_dashboard_data_200_rows[[#This Row],[Date]])/3,0)</f>
        <v>Q1</v>
      </c>
      <c r="V46" t="s">
        <v>345</v>
      </c>
    </row>
    <row r="47" spans="1:22" x14ac:dyDescent="0.3">
      <c r="A47" t="s">
        <v>189</v>
      </c>
      <c r="B47" s="1">
        <v>46067</v>
      </c>
      <c r="C47">
        <v>2026</v>
      </c>
      <c r="D47" t="s">
        <v>37</v>
      </c>
      <c r="E47" t="s">
        <v>20</v>
      </c>
      <c r="F47" t="s">
        <v>84</v>
      </c>
      <c r="G47" t="s">
        <v>85</v>
      </c>
      <c r="H47" t="s">
        <v>52</v>
      </c>
      <c r="I47" t="s">
        <v>86</v>
      </c>
      <c r="J47" t="s">
        <v>85</v>
      </c>
      <c r="K47" s="3">
        <v>16807</v>
      </c>
      <c r="L47" s="3">
        <v>3000</v>
      </c>
      <c r="M47" s="3">
        <v>0</v>
      </c>
      <c r="N47" t="s">
        <v>25</v>
      </c>
      <c r="O47" t="s">
        <v>26</v>
      </c>
      <c r="P47" t="s">
        <v>35</v>
      </c>
      <c r="Q47" t="s">
        <v>27</v>
      </c>
      <c r="R47" s="3">
        <v>162993</v>
      </c>
      <c r="S47" t="str">
        <f>TEXT(personal_finance_dashboard_data_200_rows[[#This Row],[Date]],"mmm")</f>
        <v>Feb</v>
      </c>
      <c r="T47">
        <f>MONTH(personal_finance_dashboard_data_200_rows[[#This Row],[Date]])</f>
        <v>2</v>
      </c>
      <c r="U47" t="str">
        <f>"Q"&amp;ROUNDUP(MONTH(personal_finance_dashboard_data_200_rows[[#This Row],[Date]])/3,0)</f>
        <v>Q1</v>
      </c>
      <c r="V47" t="s">
        <v>343</v>
      </c>
    </row>
    <row r="48" spans="1:22" x14ac:dyDescent="0.3">
      <c r="A48" t="s">
        <v>224</v>
      </c>
      <c r="B48" s="1">
        <v>46067</v>
      </c>
      <c r="C48">
        <v>2026</v>
      </c>
      <c r="D48" t="s">
        <v>60</v>
      </c>
      <c r="E48" t="s">
        <v>20</v>
      </c>
      <c r="F48" t="s">
        <v>74</v>
      </c>
      <c r="G48" t="s">
        <v>166</v>
      </c>
      <c r="H48" t="s">
        <v>100</v>
      </c>
      <c r="I48" t="s">
        <v>167</v>
      </c>
      <c r="J48" t="s">
        <v>166</v>
      </c>
      <c r="K48" s="3">
        <v>3968</v>
      </c>
      <c r="L48" s="3">
        <v>10000</v>
      </c>
      <c r="M48" s="3">
        <v>2000</v>
      </c>
      <c r="N48" t="s">
        <v>42</v>
      </c>
      <c r="O48" t="s">
        <v>26</v>
      </c>
      <c r="P48" t="s">
        <v>27</v>
      </c>
      <c r="Q48" t="s">
        <v>27</v>
      </c>
      <c r="R48" s="3">
        <v>112825</v>
      </c>
      <c r="S48" t="str">
        <f>TEXT(personal_finance_dashboard_data_200_rows[[#This Row],[Date]],"mmm")</f>
        <v>Feb</v>
      </c>
      <c r="T48">
        <f>MONTH(personal_finance_dashboard_data_200_rows[[#This Row],[Date]])</f>
        <v>2</v>
      </c>
      <c r="U48" t="str">
        <f>"Q"&amp;ROUNDUP(MONTH(personal_finance_dashboard_data_200_rows[[#This Row],[Date]])/3,0)</f>
        <v>Q1</v>
      </c>
      <c r="V48" t="s">
        <v>345</v>
      </c>
    </row>
    <row r="49" spans="1:22" x14ac:dyDescent="0.3">
      <c r="A49" t="s">
        <v>169</v>
      </c>
      <c r="B49" s="1">
        <v>46068</v>
      </c>
      <c r="C49">
        <v>2026</v>
      </c>
      <c r="D49" t="s">
        <v>19</v>
      </c>
      <c r="E49" t="s">
        <v>29</v>
      </c>
      <c r="F49" t="s">
        <v>30</v>
      </c>
      <c r="G49" t="s">
        <v>31</v>
      </c>
      <c r="H49" t="s">
        <v>23</v>
      </c>
      <c r="I49" t="s">
        <v>33</v>
      </c>
      <c r="J49" t="s">
        <v>34</v>
      </c>
      <c r="K49" s="3">
        <v>55000</v>
      </c>
      <c r="L49" s="3">
        <v>0</v>
      </c>
      <c r="M49" s="3">
        <v>2000</v>
      </c>
      <c r="N49" t="s">
        <v>58</v>
      </c>
      <c r="O49" t="s">
        <v>26</v>
      </c>
      <c r="P49" t="s">
        <v>35</v>
      </c>
      <c r="Q49" t="s">
        <v>35</v>
      </c>
      <c r="R49" s="3">
        <v>119784</v>
      </c>
      <c r="S49" t="str">
        <f>TEXT(personal_finance_dashboard_data_200_rows[[#This Row],[Date]],"mmm")</f>
        <v>Feb</v>
      </c>
      <c r="T49">
        <f>MONTH(personal_finance_dashboard_data_200_rows[[#This Row],[Date]])</f>
        <v>2</v>
      </c>
      <c r="U49" t="str">
        <f>"Q"&amp;ROUNDUP(MONTH(personal_finance_dashboard_data_200_rows[[#This Row],[Date]])/3,0)</f>
        <v>Q1</v>
      </c>
      <c r="V49" t="s">
        <v>343</v>
      </c>
    </row>
    <row r="50" spans="1:22" x14ac:dyDescent="0.3">
      <c r="A50" t="s">
        <v>205</v>
      </c>
      <c r="B50" s="1">
        <v>46068</v>
      </c>
      <c r="C50">
        <v>2026</v>
      </c>
      <c r="D50" t="s">
        <v>19</v>
      </c>
      <c r="E50" t="s">
        <v>20</v>
      </c>
      <c r="F50" t="s">
        <v>110</v>
      </c>
      <c r="G50" t="s">
        <v>111</v>
      </c>
      <c r="H50" t="s">
        <v>100</v>
      </c>
      <c r="I50" t="s">
        <v>76</v>
      </c>
      <c r="J50" t="s">
        <v>111</v>
      </c>
      <c r="K50" s="3">
        <v>12238</v>
      </c>
      <c r="L50" s="3">
        <v>5000</v>
      </c>
      <c r="M50" s="3">
        <v>500</v>
      </c>
      <c r="N50" t="s">
        <v>42</v>
      </c>
      <c r="O50" t="s">
        <v>26</v>
      </c>
      <c r="P50" t="s">
        <v>35</v>
      </c>
      <c r="Q50" t="s">
        <v>27</v>
      </c>
      <c r="R50" s="3">
        <v>20178</v>
      </c>
      <c r="S50" t="str">
        <f>TEXT(personal_finance_dashboard_data_200_rows[[#This Row],[Date]],"mmm")</f>
        <v>Feb</v>
      </c>
      <c r="T50">
        <f>MONTH(personal_finance_dashboard_data_200_rows[[#This Row],[Date]])</f>
        <v>2</v>
      </c>
      <c r="U50" t="str">
        <f>"Q"&amp;ROUNDUP(MONTH(personal_finance_dashboard_data_200_rows[[#This Row],[Date]])/3,0)</f>
        <v>Q1</v>
      </c>
      <c r="V50" t="s">
        <v>345</v>
      </c>
    </row>
    <row r="51" spans="1:22" x14ac:dyDescent="0.3">
      <c r="A51" t="s">
        <v>258</v>
      </c>
      <c r="B51" s="1">
        <v>46068</v>
      </c>
      <c r="C51">
        <v>2026</v>
      </c>
      <c r="D51" t="s">
        <v>60</v>
      </c>
      <c r="E51" t="s">
        <v>20</v>
      </c>
      <c r="F51" t="s">
        <v>66</v>
      </c>
      <c r="G51" t="s">
        <v>130</v>
      </c>
      <c r="H51" t="s">
        <v>52</v>
      </c>
      <c r="I51" t="s">
        <v>131</v>
      </c>
      <c r="J51" t="s">
        <v>130</v>
      </c>
      <c r="K51" s="3">
        <v>2627</v>
      </c>
      <c r="L51" s="3">
        <v>2000</v>
      </c>
      <c r="M51" s="3">
        <v>2000</v>
      </c>
      <c r="N51" t="s">
        <v>25</v>
      </c>
      <c r="O51" t="s">
        <v>26</v>
      </c>
      <c r="P51" t="s">
        <v>35</v>
      </c>
      <c r="Q51" t="s">
        <v>27</v>
      </c>
      <c r="R51" s="3">
        <v>183971</v>
      </c>
      <c r="S51" t="str">
        <f>TEXT(personal_finance_dashboard_data_200_rows[[#This Row],[Date]],"mmm")</f>
        <v>Feb</v>
      </c>
      <c r="T51">
        <f>MONTH(personal_finance_dashboard_data_200_rows[[#This Row],[Date]])</f>
        <v>2</v>
      </c>
      <c r="U51" t="str">
        <f>"Q"&amp;ROUNDUP(MONTH(personal_finance_dashboard_data_200_rows[[#This Row],[Date]])/3,0)</f>
        <v>Q1</v>
      </c>
      <c r="V51" t="s">
        <v>344</v>
      </c>
    </row>
    <row r="52" spans="1:22" x14ac:dyDescent="0.3">
      <c r="A52" t="s">
        <v>292</v>
      </c>
      <c r="B52" s="1">
        <v>46071</v>
      </c>
      <c r="C52">
        <v>2026</v>
      </c>
      <c r="D52" t="s">
        <v>37</v>
      </c>
      <c r="E52" t="s">
        <v>20</v>
      </c>
      <c r="F52" t="s">
        <v>21</v>
      </c>
      <c r="G52" t="s">
        <v>22</v>
      </c>
      <c r="H52" t="s">
        <v>68</v>
      </c>
      <c r="I52" t="s">
        <v>118</v>
      </c>
      <c r="J52" t="s">
        <v>22</v>
      </c>
      <c r="K52" s="3">
        <v>9045</v>
      </c>
      <c r="L52" s="3">
        <v>4000</v>
      </c>
      <c r="M52" s="3">
        <v>1000</v>
      </c>
      <c r="N52" t="s">
        <v>97</v>
      </c>
      <c r="O52" t="s">
        <v>26</v>
      </c>
      <c r="P52" t="s">
        <v>27</v>
      </c>
      <c r="Q52" t="s">
        <v>27</v>
      </c>
      <c r="R52" s="3">
        <v>68570</v>
      </c>
      <c r="S52" t="str">
        <f>TEXT(personal_finance_dashboard_data_200_rows[[#This Row],[Date]],"mmm")</f>
        <v>Feb</v>
      </c>
      <c r="T52">
        <f>MONTH(personal_finance_dashboard_data_200_rows[[#This Row],[Date]])</f>
        <v>2</v>
      </c>
      <c r="U52" t="str">
        <f>"Q"&amp;ROUNDUP(MONTH(personal_finance_dashboard_data_200_rows[[#This Row],[Date]])/3,0)</f>
        <v>Q1</v>
      </c>
      <c r="V52" t="s">
        <v>343</v>
      </c>
    </row>
    <row r="53" spans="1:22" x14ac:dyDescent="0.3">
      <c r="A53" t="s">
        <v>309</v>
      </c>
      <c r="B53" s="1">
        <v>46071</v>
      </c>
      <c r="C53">
        <v>2026</v>
      </c>
      <c r="D53" t="s">
        <v>60</v>
      </c>
      <c r="E53" t="s">
        <v>20</v>
      </c>
      <c r="F53" t="s">
        <v>38</v>
      </c>
      <c r="G53" t="s">
        <v>71</v>
      </c>
      <c r="H53" t="s">
        <v>68</v>
      </c>
      <c r="I53" t="s">
        <v>147</v>
      </c>
      <c r="J53" t="s">
        <v>71</v>
      </c>
      <c r="K53" s="3">
        <v>5230</v>
      </c>
      <c r="L53" s="3">
        <v>8000</v>
      </c>
      <c r="M53" s="3">
        <v>2000</v>
      </c>
      <c r="N53" t="s">
        <v>58</v>
      </c>
      <c r="O53" t="s">
        <v>26</v>
      </c>
      <c r="P53" t="s">
        <v>27</v>
      </c>
      <c r="Q53" t="s">
        <v>35</v>
      </c>
      <c r="R53" s="3">
        <v>49244</v>
      </c>
      <c r="S53" t="str">
        <f>TEXT(personal_finance_dashboard_data_200_rows[[#This Row],[Date]],"mmm")</f>
        <v>Feb</v>
      </c>
      <c r="T53">
        <f>MONTH(personal_finance_dashboard_data_200_rows[[#This Row],[Date]])</f>
        <v>2</v>
      </c>
      <c r="U53" t="str">
        <f>"Q"&amp;ROUNDUP(MONTH(personal_finance_dashboard_data_200_rows[[#This Row],[Date]])/3,0)</f>
        <v>Q1</v>
      </c>
      <c r="V53" t="s">
        <v>342</v>
      </c>
    </row>
    <row r="54" spans="1:22" x14ac:dyDescent="0.3">
      <c r="A54" t="s">
        <v>98</v>
      </c>
      <c r="B54" s="1">
        <v>46073</v>
      </c>
      <c r="C54">
        <v>2026</v>
      </c>
      <c r="D54" t="s">
        <v>37</v>
      </c>
      <c r="E54" t="s">
        <v>20</v>
      </c>
      <c r="F54" t="s">
        <v>84</v>
      </c>
      <c r="G54" t="s">
        <v>85</v>
      </c>
      <c r="H54" t="s">
        <v>68</v>
      </c>
      <c r="I54" t="s">
        <v>86</v>
      </c>
      <c r="J54" t="s">
        <v>85</v>
      </c>
      <c r="K54" s="3">
        <v>9627</v>
      </c>
      <c r="L54" s="3">
        <v>3000</v>
      </c>
      <c r="M54" s="3">
        <v>0</v>
      </c>
      <c r="N54" t="s">
        <v>48</v>
      </c>
      <c r="O54" t="s">
        <v>26</v>
      </c>
      <c r="P54" t="s">
        <v>35</v>
      </c>
      <c r="Q54" t="s">
        <v>27</v>
      </c>
      <c r="R54" s="3">
        <v>-101316</v>
      </c>
      <c r="S54" t="str">
        <f>TEXT(personal_finance_dashboard_data_200_rows[[#This Row],[Date]],"mmm")</f>
        <v>Feb</v>
      </c>
      <c r="T54">
        <f>MONTH(personal_finance_dashboard_data_200_rows[[#This Row],[Date]])</f>
        <v>2</v>
      </c>
      <c r="U54" t="str">
        <f>"Q"&amp;ROUNDUP(MONTH(personal_finance_dashboard_data_200_rows[[#This Row],[Date]])/3,0)</f>
        <v>Q1</v>
      </c>
      <c r="V54" t="s">
        <v>343</v>
      </c>
    </row>
    <row r="55" spans="1:22" x14ac:dyDescent="0.3">
      <c r="A55" t="s">
        <v>101</v>
      </c>
      <c r="B55" s="1">
        <v>46078</v>
      </c>
      <c r="C55">
        <v>2026</v>
      </c>
      <c r="D55" t="s">
        <v>60</v>
      </c>
      <c r="E55" t="s">
        <v>29</v>
      </c>
      <c r="F55" t="s">
        <v>30</v>
      </c>
      <c r="G55" t="s">
        <v>31</v>
      </c>
      <c r="H55" t="s">
        <v>32</v>
      </c>
      <c r="I55" t="s">
        <v>33</v>
      </c>
      <c r="J55" t="s">
        <v>34</v>
      </c>
      <c r="K55" s="3">
        <v>55000</v>
      </c>
      <c r="L55" s="3">
        <v>0</v>
      </c>
      <c r="M55" s="3">
        <v>5000</v>
      </c>
      <c r="N55" t="s">
        <v>25</v>
      </c>
      <c r="O55" t="s">
        <v>26</v>
      </c>
      <c r="P55" t="s">
        <v>35</v>
      </c>
      <c r="Q55" t="s">
        <v>35</v>
      </c>
      <c r="R55" s="3">
        <v>-49872</v>
      </c>
      <c r="S55" t="str">
        <f>TEXT(personal_finance_dashboard_data_200_rows[[#This Row],[Date]],"mmm")</f>
        <v>Feb</v>
      </c>
      <c r="T55">
        <f>MONTH(personal_finance_dashboard_data_200_rows[[#This Row],[Date]])</f>
        <v>2</v>
      </c>
      <c r="U55" t="str">
        <f>"Q"&amp;ROUNDUP(MONTH(personal_finance_dashboard_data_200_rows[[#This Row],[Date]])/3,0)</f>
        <v>Q1</v>
      </c>
      <c r="V55" t="s">
        <v>343</v>
      </c>
    </row>
    <row r="56" spans="1:22" x14ac:dyDescent="0.3">
      <c r="A56" t="s">
        <v>220</v>
      </c>
      <c r="B56" s="1">
        <v>46079</v>
      </c>
      <c r="C56">
        <v>2026</v>
      </c>
      <c r="D56" t="s">
        <v>19</v>
      </c>
      <c r="E56" t="s">
        <v>20</v>
      </c>
      <c r="F56" t="s">
        <v>38</v>
      </c>
      <c r="G56" t="s">
        <v>71</v>
      </c>
      <c r="H56" t="s">
        <v>52</v>
      </c>
      <c r="I56" t="s">
        <v>72</v>
      </c>
      <c r="J56" t="s">
        <v>71</v>
      </c>
      <c r="K56" s="3">
        <v>16445</v>
      </c>
      <c r="L56" s="3">
        <v>8000</v>
      </c>
      <c r="M56" s="3">
        <v>500</v>
      </c>
      <c r="N56" t="s">
        <v>64</v>
      </c>
      <c r="O56" t="s">
        <v>26</v>
      </c>
      <c r="P56" t="s">
        <v>35</v>
      </c>
      <c r="Q56" t="s">
        <v>35</v>
      </c>
      <c r="R56" s="3">
        <v>128440</v>
      </c>
      <c r="S56" t="str">
        <f>TEXT(personal_finance_dashboard_data_200_rows[[#This Row],[Date]],"mmm")</f>
        <v>Feb</v>
      </c>
      <c r="T56">
        <f>MONTH(personal_finance_dashboard_data_200_rows[[#This Row],[Date]])</f>
        <v>2</v>
      </c>
      <c r="U56" t="str">
        <f>"Q"&amp;ROUNDUP(MONTH(personal_finance_dashboard_data_200_rows[[#This Row],[Date]])/3,0)</f>
        <v>Q1</v>
      </c>
      <c r="V56" t="s">
        <v>342</v>
      </c>
    </row>
    <row r="57" spans="1:22" x14ac:dyDescent="0.3">
      <c r="A57" t="s">
        <v>143</v>
      </c>
      <c r="B57" s="1">
        <v>46080</v>
      </c>
      <c r="C57">
        <v>2026</v>
      </c>
      <c r="D57" t="s">
        <v>44</v>
      </c>
      <c r="E57" t="s">
        <v>20</v>
      </c>
      <c r="F57" t="s">
        <v>84</v>
      </c>
      <c r="G57" t="s">
        <v>85</v>
      </c>
      <c r="H57" t="s">
        <v>23</v>
      </c>
      <c r="I57" t="s">
        <v>86</v>
      </c>
      <c r="J57" t="s">
        <v>85</v>
      </c>
      <c r="K57" s="3">
        <v>13748</v>
      </c>
      <c r="L57" s="3">
        <v>3000</v>
      </c>
      <c r="M57" s="3">
        <v>0</v>
      </c>
      <c r="N57" t="s">
        <v>97</v>
      </c>
      <c r="O57" t="s">
        <v>26</v>
      </c>
      <c r="P57" t="s">
        <v>35</v>
      </c>
      <c r="Q57" t="s">
        <v>27</v>
      </c>
      <c r="R57" s="3">
        <v>90617</v>
      </c>
      <c r="S57" t="str">
        <f>TEXT(personal_finance_dashboard_data_200_rows[[#This Row],[Date]],"mmm")</f>
        <v>Feb</v>
      </c>
      <c r="T57">
        <f>MONTH(personal_finance_dashboard_data_200_rows[[#This Row],[Date]])</f>
        <v>2</v>
      </c>
      <c r="U57" t="str">
        <f>"Q"&amp;ROUNDUP(MONTH(personal_finance_dashboard_data_200_rows[[#This Row],[Date]])/3,0)</f>
        <v>Q1</v>
      </c>
      <c r="V57" t="s">
        <v>343</v>
      </c>
    </row>
    <row r="58" spans="1:22" x14ac:dyDescent="0.3">
      <c r="A58" t="s">
        <v>180</v>
      </c>
      <c r="B58" s="1">
        <v>46081</v>
      </c>
      <c r="C58">
        <v>2026</v>
      </c>
      <c r="D58" t="s">
        <v>19</v>
      </c>
      <c r="E58" t="s">
        <v>20</v>
      </c>
      <c r="F58" t="s">
        <v>110</v>
      </c>
      <c r="G58" t="s">
        <v>111</v>
      </c>
      <c r="H58" t="s">
        <v>52</v>
      </c>
      <c r="I58" t="s">
        <v>154</v>
      </c>
      <c r="J58" t="s">
        <v>111</v>
      </c>
      <c r="K58" s="3">
        <v>10063</v>
      </c>
      <c r="L58" s="3">
        <v>5000</v>
      </c>
      <c r="M58" s="3">
        <v>500</v>
      </c>
      <c r="N58" t="s">
        <v>97</v>
      </c>
      <c r="O58" t="s">
        <v>26</v>
      </c>
      <c r="P58" t="s">
        <v>35</v>
      </c>
      <c r="Q58" t="s">
        <v>27</v>
      </c>
      <c r="R58" s="3">
        <v>205779</v>
      </c>
      <c r="S58" t="str">
        <f>TEXT(personal_finance_dashboard_data_200_rows[[#This Row],[Date]],"mmm")</f>
        <v>Feb</v>
      </c>
      <c r="T58">
        <f>MONTH(personal_finance_dashboard_data_200_rows[[#This Row],[Date]])</f>
        <v>2</v>
      </c>
      <c r="U58" t="str">
        <f>"Q"&amp;ROUNDUP(MONTH(personal_finance_dashboard_data_200_rows[[#This Row],[Date]])/3,0)</f>
        <v>Q1</v>
      </c>
      <c r="V58" t="s">
        <v>342</v>
      </c>
    </row>
    <row r="59" spans="1:22" x14ac:dyDescent="0.3">
      <c r="A59" t="s">
        <v>265</v>
      </c>
      <c r="B59" s="1">
        <v>46081</v>
      </c>
      <c r="C59">
        <v>2026</v>
      </c>
      <c r="D59" t="s">
        <v>44</v>
      </c>
      <c r="E59" t="s">
        <v>20</v>
      </c>
      <c r="F59" t="s">
        <v>74</v>
      </c>
      <c r="G59" t="s">
        <v>88</v>
      </c>
      <c r="H59" t="s">
        <v>23</v>
      </c>
      <c r="I59" t="s">
        <v>75</v>
      </c>
      <c r="J59" t="s">
        <v>88</v>
      </c>
      <c r="K59" s="3">
        <v>6932</v>
      </c>
      <c r="L59" s="3">
        <v>10000</v>
      </c>
      <c r="M59" s="3">
        <v>500</v>
      </c>
      <c r="N59" t="s">
        <v>48</v>
      </c>
      <c r="O59" t="s">
        <v>26</v>
      </c>
      <c r="P59" t="s">
        <v>35</v>
      </c>
      <c r="Q59" t="s">
        <v>27</v>
      </c>
      <c r="R59" s="3">
        <v>124679</v>
      </c>
      <c r="S59" t="str">
        <f>TEXT(personal_finance_dashboard_data_200_rows[[#This Row],[Date]],"mmm")</f>
        <v>Feb</v>
      </c>
      <c r="T59">
        <f>MONTH(personal_finance_dashboard_data_200_rows[[#This Row],[Date]])</f>
        <v>2</v>
      </c>
      <c r="U59" t="str">
        <f>"Q"&amp;ROUNDUP(MONTH(personal_finance_dashboard_data_200_rows[[#This Row],[Date]])/3,0)</f>
        <v>Q1</v>
      </c>
      <c r="V59" t="s">
        <v>342</v>
      </c>
    </row>
    <row r="60" spans="1:22" x14ac:dyDescent="0.3">
      <c r="A60" t="s">
        <v>193</v>
      </c>
      <c r="B60" s="1">
        <v>46082</v>
      </c>
      <c r="C60">
        <v>2026</v>
      </c>
      <c r="D60" t="s">
        <v>44</v>
      </c>
      <c r="E60" t="s">
        <v>20</v>
      </c>
      <c r="F60" t="s">
        <v>38</v>
      </c>
      <c r="G60" t="s">
        <v>71</v>
      </c>
      <c r="H60" t="s">
        <v>23</v>
      </c>
      <c r="I60" t="s">
        <v>147</v>
      </c>
      <c r="J60" t="s">
        <v>71</v>
      </c>
      <c r="K60" s="3">
        <v>4981</v>
      </c>
      <c r="L60" s="3">
        <v>8000</v>
      </c>
      <c r="M60" s="3">
        <v>0</v>
      </c>
      <c r="N60" t="s">
        <v>58</v>
      </c>
      <c r="O60" t="s">
        <v>26</v>
      </c>
      <c r="P60" t="s">
        <v>27</v>
      </c>
      <c r="Q60" t="s">
        <v>27</v>
      </c>
      <c r="R60" s="3">
        <v>126142</v>
      </c>
      <c r="S60" t="str">
        <f>TEXT(personal_finance_dashboard_data_200_rows[[#This Row],[Date]],"mmm")</f>
        <v>Mar</v>
      </c>
      <c r="T60">
        <f>MONTH(personal_finance_dashboard_data_200_rows[[#This Row],[Date]])</f>
        <v>3</v>
      </c>
      <c r="U60" t="str">
        <f>"Q"&amp;ROUNDUP(MONTH(personal_finance_dashboard_data_200_rows[[#This Row],[Date]])/3,0)</f>
        <v>Q1</v>
      </c>
      <c r="V60" t="s">
        <v>343</v>
      </c>
    </row>
    <row r="61" spans="1:22" x14ac:dyDescent="0.3">
      <c r="A61" t="s">
        <v>160</v>
      </c>
      <c r="B61" s="1">
        <v>46083</v>
      </c>
      <c r="C61">
        <v>2026</v>
      </c>
      <c r="D61" t="s">
        <v>19</v>
      </c>
      <c r="E61" t="s">
        <v>29</v>
      </c>
      <c r="F61" t="s">
        <v>30</v>
      </c>
      <c r="G61" t="s">
        <v>31</v>
      </c>
      <c r="H61" t="s">
        <v>52</v>
      </c>
      <c r="I61" t="s">
        <v>33</v>
      </c>
      <c r="J61" t="s">
        <v>34</v>
      </c>
      <c r="K61" s="3">
        <v>50000</v>
      </c>
      <c r="L61" s="3">
        <v>0</v>
      </c>
      <c r="M61" s="3">
        <v>10000</v>
      </c>
      <c r="N61" t="s">
        <v>42</v>
      </c>
      <c r="O61" t="s">
        <v>26</v>
      </c>
      <c r="P61" t="s">
        <v>35</v>
      </c>
      <c r="Q61" t="s">
        <v>35</v>
      </c>
      <c r="R61" s="3">
        <v>95184</v>
      </c>
      <c r="S61" t="str">
        <f>TEXT(personal_finance_dashboard_data_200_rows[[#This Row],[Date]],"mmm")</f>
        <v>Mar</v>
      </c>
      <c r="T61">
        <f>MONTH(personal_finance_dashboard_data_200_rows[[#This Row],[Date]])</f>
        <v>3</v>
      </c>
      <c r="U61" t="str">
        <f>"Q"&amp;ROUNDUP(MONTH(personal_finance_dashboard_data_200_rows[[#This Row],[Date]])/3,0)</f>
        <v>Q1</v>
      </c>
      <c r="V61" t="s">
        <v>343</v>
      </c>
    </row>
    <row r="62" spans="1:22" x14ac:dyDescent="0.3">
      <c r="A62" t="s">
        <v>80</v>
      </c>
      <c r="B62" s="1">
        <v>46085</v>
      </c>
      <c r="C62">
        <v>2026</v>
      </c>
      <c r="D62" t="s">
        <v>19</v>
      </c>
      <c r="E62" t="s">
        <v>20</v>
      </c>
      <c r="F62" t="s">
        <v>74</v>
      </c>
      <c r="G62" t="s">
        <v>81</v>
      </c>
      <c r="H62" t="s">
        <v>32</v>
      </c>
      <c r="I62" t="s">
        <v>82</v>
      </c>
      <c r="J62" t="s">
        <v>81</v>
      </c>
      <c r="K62" s="3">
        <v>16424</v>
      </c>
      <c r="L62" s="3">
        <v>10000</v>
      </c>
      <c r="M62" s="3">
        <v>0</v>
      </c>
      <c r="N62" t="s">
        <v>58</v>
      </c>
      <c r="O62" t="s">
        <v>26</v>
      </c>
      <c r="P62" t="s">
        <v>35</v>
      </c>
      <c r="Q62" t="s">
        <v>27</v>
      </c>
      <c r="R62" s="3">
        <v>-43882</v>
      </c>
      <c r="S62" t="str">
        <f>TEXT(personal_finance_dashboard_data_200_rows[[#This Row],[Date]],"mmm")</f>
        <v>Mar</v>
      </c>
      <c r="T62">
        <f>MONTH(personal_finance_dashboard_data_200_rows[[#This Row],[Date]])</f>
        <v>3</v>
      </c>
      <c r="U62" t="str">
        <f>"Q"&amp;ROUNDUP(MONTH(personal_finance_dashboard_data_200_rows[[#This Row],[Date]])/3,0)</f>
        <v>Q1</v>
      </c>
      <c r="V62" t="s">
        <v>344</v>
      </c>
    </row>
    <row r="63" spans="1:22" x14ac:dyDescent="0.3">
      <c r="A63" t="s">
        <v>148</v>
      </c>
      <c r="B63" s="1">
        <v>46085</v>
      </c>
      <c r="C63">
        <v>2026</v>
      </c>
      <c r="D63" t="s">
        <v>37</v>
      </c>
      <c r="E63" t="s">
        <v>20</v>
      </c>
      <c r="F63" t="s">
        <v>21</v>
      </c>
      <c r="G63" t="s">
        <v>56</v>
      </c>
      <c r="H63" t="s">
        <v>40</v>
      </c>
      <c r="I63" t="s">
        <v>57</v>
      </c>
      <c r="J63" t="s">
        <v>56</v>
      </c>
      <c r="K63" s="3">
        <v>8896</v>
      </c>
      <c r="L63" s="3">
        <v>4000</v>
      </c>
      <c r="M63" s="3">
        <v>2000</v>
      </c>
      <c r="N63" t="s">
        <v>97</v>
      </c>
      <c r="O63" t="s">
        <v>26</v>
      </c>
      <c r="P63" t="s">
        <v>27</v>
      </c>
      <c r="Q63" t="s">
        <v>27</v>
      </c>
      <c r="R63" s="3">
        <v>52588</v>
      </c>
      <c r="S63" t="str">
        <f>TEXT(personal_finance_dashboard_data_200_rows[[#This Row],[Date]],"mmm")</f>
        <v>Mar</v>
      </c>
      <c r="T63">
        <f>MONTH(personal_finance_dashboard_data_200_rows[[#This Row],[Date]])</f>
        <v>3</v>
      </c>
      <c r="U63" t="str">
        <f>"Q"&amp;ROUNDUP(MONTH(personal_finance_dashboard_data_200_rows[[#This Row],[Date]])/3,0)</f>
        <v>Q1</v>
      </c>
      <c r="V63" t="s">
        <v>345</v>
      </c>
    </row>
    <row r="64" spans="1:22" x14ac:dyDescent="0.3">
      <c r="A64" t="s">
        <v>270</v>
      </c>
      <c r="B64" s="1">
        <v>46085</v>
      </c>
      <c r="C64">
        <v>2026</v>
      </c>
      <c r="D64" t="s">
        <v>60</v>
      </c>
      <c r="E64" t="s">
        <v>20</v>
      </c>
      <c r="F64" t="s">
        <v>21</v>
      </c>
      <c r="G64" t="s">
        <v>22</v>
      </c>
      <c r="H64" t="s">
        <v>32</v>
      </c>
      <c r="I64" t="s">
        <v>118</v>
      </c>
      <c r="J64" t="s">
        <v>22</v>
      </c>
      <c r="K64" s="3">
        <v>3672</v>
      </c>
      <c r="L64" s="3">
        <v>4000</v>
      </c>
      <c r="M64" s="3">
        <v>1000</v>
      </c>
      <c r="N64" t="s">
        <v>25</v>
      </c>
      <c r="O64" t="s">
        <v>26</v>
      </c>
      <c r="P64" t="s">
        <v>27</v>
      </c>
      <c r="Q64" t="s">
        <v>27</v>
      </c>
      <c r="R64" s="3">
        <v>88879</v>
      </c>
      <c r="S64" t="str">
        <f>TEXT(personal_finance_dashboard_data_200_rows[[#This Row],[Date]],"mmm")</f>
        <v>Mar</v>
      </c>
      <c r="T64">
        <f>MONTH(personal_finance_dashboard_data_200_rows[[#This Row],[Date]])</f>
        <v>3</v>
      </c>
      <c r="U64" t="str">
        <f>"Q"&amp;ROUNDUP(MONTH(personal_finance_dashboard_data_200_rows[[#This Row],[Date]])/3,0)</f>
        <v>Q1</v>
      </c>
      <c r="V64" t="s">
        <v>344</v>
      </c>
    </row>
    <row r="65" spans="1:22" x14ac:dyDescent="0.3">
      <c r="A65" t="s">
        <v>106</v>
      </c>
      <c r="B65" s="1">
        <v>46086</v>
      </c>
      <c r="C65">
        <v>2026</v>
      </c>
      <c r="D65" t="s">
        <v>44</v>
      </c>
      <c r="E65" t="s">
        <v>29</v>
      </c>
      <c r="F65" t="s">
        <v>107</v>
      </c>
      <c r="G65" t="s">
        <v>107</v>
      </c>
      <c r="H65" t="s">
        <v>23</v>
      </c>
      <c r="I65" t="s">
        <v>33</v>
      </c>
      <c r="J65" t="s">
        <v>108</v>
      </c>
      <c r="K65" s="3">
        <v>15000</v>
      </c>
      <c r="L65" s="3">
        <v>0</v>
      </c>
      <c r="M65" s="3">
        <v>5000</v>
      </c>
      <c r="N65" t="s">
        <v>64</v>
      </c>
      <c r="O65" t="s">
        <v>26</v>
      </c>
      <c r="P65" t="s">
        <v>35</v>
      </c>
      <c r="Q65" t="s">
        <v>35</v>
      </c>
      <c r="R65" s="3">
        <v>84644</v>
      </c>
      <c r="S65" t="str">
        <f>TEXT(personal_finance_dashboard_data_200_rows[[#This Row],[Date]],"mmm")</f>
        <v>Mar</v>
      </c>
      <c r="T65">
        <f>MONTH(personal_finance_dashboard_data_200_rows[[#This Row],[Date]])</f>
        <v>3</v>
      </c>
      <c r="U65" t="str">
        <f>"Q"&amp;ROUNDUP(MONTH(personal_finance_dashboard_data_200_rows[[#This Row],[Date]])/3,0)</f>
        <v>Q1</v>
      </c>
      <c r="V65" t="s">
        <v>343</v>
      </c>
    </row>
    <row r="66" spans="1:22" x14ac:dyDescent="0.3">
      <c r="A66" t="s">
        <v>109</v>
      </c>
      <c r="B66" s="1">
        <v>46091</v>
      </c>
      <c r="C66">
        <v>2026</v>
      </c>
      <c r="D66" t="s">
        <v>19</v>
      </c>
      <c r="E66" t="s">
        <v>20</v>
      </c>
      <c r="F66" t="s">
        <v>110</v>
      </c>
      <c r="G66" t="s">
        <v>111</v>
      </c>
      <c r="H66" t="s">
        <v>52</v>
      </c>
      <c r="I66" t="s">
        <v>76</v>
      </c>
      <c r="J66" t="s">
        <v>111</v>
      </c>
      <c r="K66" s="3">
        <v>9732</v>
      </c>
      <c r="L66" s="3">
        <v>5000</v>
      </c>
      <c r="M66" s="3">
        <v>500</v>
      </c>
      <c r="N66" t="s">
        <v>25</v>
      </c>
      <c r="O66" t="s">
        <v>26</v>
      </c>
      <c r="P66" t="s">
        <v>27</v>
      </c>
      <c r="Q66" t="s">
        <v>27</v>
      </c>
      <c r="R66" s="3">
        <v>74912</v>
      </c>
      <c r="S66" t="str">
        <f>TEXT(personal_finance_dashboard_data_200_rows[[#This Row],[Date]],"mmm")</f>
        <v>Mar</v>
      </c>
      <c r="T66">
        <f>MONTH(personal_finance_dashboard_data_200_rows[[#This Row],[Date]])</f>
        <v>3</v>
      </c>
      <c r="U66" t="str">
        <f>"Q"&amp;ROUNDUP(MONTH(personal_finance_dashboard_data_200_rows[[#This Row],[Date]])/3,0)</f>
        <v>Q1</v>
      </c>
      <c r="V66" t="s">
        <v>345</v>
      </c>
    </row>
    <row r="67" spans="1:22" x14ac:dyDescent="0.3">
      <c r="A67" t="s">
        <v>206</v>
      </c>
      <c r="B67" s="1">
        <v>46091</v>
      </c>
      <c r="C67">
        <v>2026</v>
      </c>
      <c r="D67" t="s">
        <v>19</v>
      </c>
      <c r="E67" t="s">
        <v>20</v>
      </c>
      <c r="F67" t="s">
        <v>61</v>
      </c>
      <c r="G67" t="s">
        <v>62</v>
      </c>
      <c r="H67" t="s">
        <v>68</v>
      </c>
      <c r="I67" t="s">
        <v>207</v>
      </c>
      <c r="J67" t="s">
        <v>62</v>
      </c>
      <c r="K67" s="3">
        <v>2582</v>
      </c>
      <c r="L67" s="3">
        <v>3000</v>
      </c>
      <c r="M67" s="3">
        <v>500</v>
      </c>
      <c r="N67" t="s">
        <v>58</v>
      </c>
      <c r="O67" t="s">
        <v>26</v>
      </c>
      <c r="P67" t="s">
        <v>27</v>
      </c>
      <c r="Q67" t="s">
        <v>27</v>
      </c>
      <c r="R67" s="3">
        <v>17596</v>
      </c>
      <c r="S67" t="str">
        <f>TEXT(personal_finance_dashboard_data_200_rows[[#This Row],[Date]],"mmm")</f>
        <v>Mar</v>
      </c>
      <c r="T67">
        <f>MONTH(personal_finance_dashboard_data_200_rows[[#This Row],[Date]])</f>
        <v>3</v>
      </c>
      <c r="U67" t="str">
        <f>"Q"&amp;ROUNDUP(MONTH(personal_finance_dashboard_data_200_rows[[#This Row],[Date]])/3,0)</f>
        <v>Q1</v>
      </c>
      <c r="V67" t="s">
        <v>342</v>
      </c>
    </row>
    <row r="68" spans="1:22" x14ac:dyDescent="0.3">
      <c r="A68" t="s">
        <v>257</v>
      </c>
      <c r="B68" s="1">
        <v>46091</v>
      </c>
      <c r="C68">
        <v>2026</v>
      </c>
      <c r="D68" t="s">
        <v>44</v>
      </c>
      <c r="E68" t="s">
        <v>20</v>
      </c>
      <c r="F68" t="s">
        <v>38</v>
      </c>
      <c r="G68" t="s">
        <v>71</v>
      </c>
      <c r="H68" t="s">
        <v>100</v>
      </c>
      <c r="I68" t="s">
        <v>72</v>
      </c>
      <c r="J68" t="s">
        <v>71</v>
      </c>
      <c r="K68" s="3">
        <v>16595</v>
      </c>
      <c r="L68" s="3">
        <v>8000</v>
      </c>
      <c r="M68" s="3">
        <v>0</v>
      </c>
      <c r="N68" t="s">
        <v>42</v>
      </c>
      <c r="O68" t="s">
        <v>26</v>
      </c>
      <c r="P68" t="s">
        <v>27</v>
      </c>
      <c r="Q68" t="s">
        <v>35</v>
      </c>
      <c r="R68" s="3">
        <v>186598</v>
      </c>
      <c r="S68" t="str">
        <f>TEXT(personal_finance_dashboard_data_200_rows[[#This Row],[Date]],"mmm")</f>
        <v>Mar</v>
      </c>
      <c r="T68">
        <f>MONTH(personal_finance_dashboard_data_200_rows[[#This Row],[Date]])</f>
        <v>3</v>
      </c>
      <c r="U68" t="str">
        <f>"Q"&amp;ROUNDUP(MONTH(personal_finance_dashboard_data_200_rows[[#This Row],[Date]])/3,0)</f>
        <v>Q1</v>
      </c>
      <c r="V68" t="s">
        <v>342</v>
      </c>
    </row>
    <row r="69" spans="1:22" x14ac:dyDescent="0.3">
      <c r="A69" t="s">
        <v>65</v>
      </c>
      <c r="B69" s="1">
        <v>46092</v>
      </c>
      <c r="C69">
        <v>2026</v>
      </c>
      <c r="D69" t="s">
        <v>19</v>
      </c>
      <c r="E69" t="s">
        <v>20</v>
      </c>
      <c r="F69" t="s">
        <v>66</v>
      </c>
      <c r="G69" t="s">
        <v>67</v>
      </c>
      <c r="H69" t="s">
        <v>68</v>
      </c>
      <c r="I69" t="s">
        <v>69</v>
      </c>
      <c r="J69" t="s">
        <v>67</v>
      </c>
      <c r="K69" s="3">
        <v>16858</v>
      </c>
      <c r="L69" s="3">
        <v>2000</v>
      </c>
      <c r="M69" s="3">
        <v>1000</v>
      </c>
      <c r="N69" t="s">
        <v>58</v>
      </c>
      <c r="O69" t="s">
        <v>26</v>
      </c>
      <c r="P69" t="s">
        <v>35</v>
      </c>
      <c r="Q69" t="s">
        <v>35</v>
      </c>
      <c r="R69" s="3">
        <v>14550</v>
      </c>
      <c r="S69" t="str">
        <f>TEXT(personal_finance_dashboard_data_200_rows[[#This Row],[Date]],"mmm")</f>
        <v>Mar</v>
      </c>
      <c r="T69">
        <f>MONTH(personal_finance_dashboard_data_200_rows[[#This Row],[Date]])</f>
        <v>3</v>
      </c>
      <c r="U69" t="str">
        <f>"Q"&amp;ROUNDUP(MONTH(personal_finance_dashboard_data_200_rows[[#This Row],[Date]])/3,0)</f>
        <v>Q1</v>
      </c>
      <c r="V69" t="s">
        <v>344</v>
      </c>
    </row>
    <row r="70" spans="1:22" x14ac:dyDescent="0.3">
      <c r="A70" t="s">
        <v>171</v>
      </c>
      <c r="B70" s="1">
        <v>46092</v>
      </c>
      <c r="C70">
        <v>2026</v>
      </c>
      <c r="D70" t="s">
        <v>37</v>
      </c>
      <c r="E70" t="s">
        <v>29</v>
      </c>
      <c r="F70" t="s">
        <v>50</v>
      </c>
      <c r="G70" t="s">
        <v>51</v>
      </c>
      <c r="H70" t="s">
        <v>23</v>
      </c>
      <c r="I70" t="s">
        <v>53</v>
      </c>
      <c r="J70" t="s">
        <v>54</v>
      </c>
      <c r="K70" s="3">
        <v>15000</v>
      </c>
      <c r="L70" s="3">
        <v>0</v>
      </c>
      <c r="M70" s="3">
        <v>5000</v>
      </c>
      <c r="N70" t="s">
        <v>25</v>
      </c>
      <c r="O70" t="s">
        <v>26</v>
      </c>
      <c r="P70" t="s">
        <v>27</v>
      </c>
      <c r="Q70" t="s">
        <v>35</v>
      </c>
      <c r="R70" s="3">
        <v>127802</v>
      </c>
      <c r="S70" t="str">
        <f>TEXT(personal_finance_dashboard_data_200_rows[[#This Row],[Date]],"mmm")</f>
        <v>Mar</v>
      </c>
      <c r="T70">
        <f>MONTH(personal_finance_dashboard_data_200_rows[[#This Row],[Date]])</f>
        <v>3</v>
      </c>
      <c r="U70" t="str">
        <f>"Q"&amp;ROUNDUP(MONTH(personal_finance_dashboard_data_200_rows[[#This Row],[Date]])/3,0)</f>
        <v>Q1</v>
      </c>
      <c r="V70" t="s">
        <v>343</v>
      </c>
    </row>
    <row r="71" spans="1:22" x14ac:dyDescent="0.3">
      <c r="A71" t="s">
        <v>311</v>
      </c>
      <c r="B71" s="1">
        <v>46092</v>
      </c>
      <c r="C71">
        <v>2026</v>
      </c>
      <c r="D71" t="s">
        <v>60</v>
      </c>
      <c r="E71" t="s">
        <v>20</v>
      </c>
      <c r="F71" t="s">
        <v>45</v>
      </c>
      <c r="G71" t="s">
        <v>46</v>
      </c>
      <c r="H71" t="s">
        <v>68</v>
      </c>
      <c r="I71" t="s">
        <v>47</v>
      </c>
      <c r="J71" t="s">
        <v>46</v>
      </c>
      <c r="K71" s="3">
        <v>18000</v>
      </c>
      <c r="L71" s="3">
        <v>20000</v>
      </c>
      <c r="M71" s="3">
        <v>0</v>
      </c>
      <c r="N71" t="s">
        <v>42</v>
      </c>
      <c r="O71" t="s">
        <v>26</v>
      </c>
      <c r="P71" t="s">
        <v>35</v>
      </c>
      <c r="Q71" t="s">
        <v>27</v>
      </c>
      <c r="R71" s="3">
        <v>28154</v>
      </c>
      <c r="S71" t="str">
        <f>TEXT(personal_finance_dashboard_data_200_rows[[#This Row],[Date]],"mmm")</f>
        <v>Mar</v>
      </c>
      <c r="T71">
        <f>MONTH(personal_finance_dashboard_data_200_rows[[#This Row],[Date]])</f>
        <v>3</v>
      </c>
      <c r="U71" t="str">
        <f>"Q"&amp;ROUNDUP(MONTH(personal_finance_dashboard_data_200_rows[[#This Row],[Date]])/3,0)</f>
        <v>Q1</v>
      </c>
      <c r="V71" t="s">
        <v>344</v>
      </c>
    </row>
    <row r="72" spans="1:22" x14ac:dyDescent="0.3">
      <c r="A72" t="s">
        <v>210</v>
      </c>
      <c r="B72" s="1">
        <v>46094</v>
      </c>
      <c r="C72">
        <v>2026</v>
      </c>
      <c r="D72" t="s">
        <v>44</v>
      </c>
      <c r="E72" t="s">
        <v>20</v>
      </c>
      <c r="F72" t="s">
        <v>61</v>
      </c>
      <c r="G72" t="s">
        <v>114</v>
      </c>
      <c r="H72" t="s">
        <v>52</v>
      </c>
      <c r="I72" t="s">
        <v>115</v>
      </c>
      <c r="J72" t="s">
        <v>114</v>
      </c>
      <c r="K72" s="3">
        <v>15367</v>
      </c>
      <c r="L72" s="3">
        <v>3000</v>
      </c>
      <c r="M72" s="3">
        <v>1000</v>
      </c>
      <c r="N72" t="s">
        <v>97</v>
      </c>
      <c r="O72" t="s">
        <v>26</v>
      </c>
      <c r="P72" t="s">
        <v>35</v>
      </c>
      <c r="Q72" t="s">
        <v>27</v>
      </c>
      <c r="R72" s="3">
        <v>14082</v>
      </c>
      <c r="S72" t="str">
        <f>TEXT(personal_finance_dashboard_data_200_rows[[#This Row],[Date]],"mmm")</f>
        <v>Mar</v>
      </c>
      <c r="T72">
        <f>MONTH(personal_finance_dashboard_data_200_rows[[#This Row],[Date]])</f>
        <v>3</v>
      </c>
      <c r="U72" t="str">
        <f>"Q"&amp;ROUNDUP(MONTH(personal_finance_dashboard_data_200_rows[[#This Row],[Date]])/3,0)</f>
        <v>Q1</v>
      </c>
      <c r="V72" t="s">
        <v>343</v>
      </c>
    </row>
    <row r="73" spans="1:22" x14ac:dyDescent="0.3">
      <c r="A73" t="s">
        <v>129</v>
      </c>
      <c r="B73" s="1">
        <v>46097</v>
      </c>
      <c r="C73">
        <v>2026</v>
      </c>
      <c r="D73" t="s">
        <v>37</v>
      </c>
      <c r="E73" t="s">
        <v>20</v>
      </c>
      <c r="F73" t="s">
        <v>66</v>
      </c>
      <c r="G73" t="s">
        <v>130</v>
      </c>
      <c r="H73" t="s">
        <v>68</v>
      </c>
      <c r="I73" t="s">
        <v>131</v>
      </c>
      <c r="J73" t="s">
        <v>130</v>
      </c>
      <c r="K73" s="3">
        <v>14976</v>
      </c>
      <c r="L73" s="3">
        <v>2000</v>
      </c>
      <c r="M73" s="3">
        <v>0</v>
      </c>
      <c r="N73" t="s">
        <v>97</v>
      </c>
      <c r="O73" t="s">
        <v>26</v>
      </c>
      <c r="P73" t="s">
        <v>35</v>
      </c>
      <c r="Q73" t="s">
        <v>35</v>
      </c>
      <c r="R73" s="3">
        <v>186725</v>
      </c>
      <c r="S73" t="str">
        <f>TEXT(personal_finance_dashboard_data_200_rows[[#This Row],[Date]],"mmm")</f>
        <v>Mar</v>
      </c>
      <c r="T73">
        <f>MONTH(personal_finance_dashboard_data_200_rows[[#This Row],[Date]])</f>
        <v>3</v>
      </c>
      <c r="U73" t="str">
        <f>"Q"&amp;ROUNDUP(MONTH(personal_finance_dashboard_data_200_rows[[#This Row],[Date]])/3,0)</f>
        <v>Q1</v>
      </c>
      <c r="V73" t="s">
        <v>343</v>
      </c>
    </row>
    <row r="74" spans="1:22" x14ac:dyDescent="0.3">
      <c r="A74" t="s">
        <v>244</v>
      </c>
      <c r="B74" s="1">
        <v>46097</v>
      </c>
      <c r="C74">
        <v>2026</v>
      </c>
      <c r="D74" t="s">
        <v>37</v>
      </c>
      <c r="E74" t="s">
        <v>29</v>
      </c>
      <c r="F74" t="s">
        <v>30</v>
      </c>
      <c r="G74" t="s">
        <v>31</v>
      </c>
      <c r="H74" t="s">
        <v>23</v>
      </c>
      <c r="I74" t="s">
        <v>33</v>
      </c>
      <c r="J74" t="s">
        <v>34</v>
      </c>
      <c r="K74" s="3">
        <v>45000</v>
      </c>
      <c r="L74" s="3">
        <v>0</v>
      </c>
      <c r="M74" s="3">
        <v>10000</v>
      </c>
      <c r="N74" t="s">
        <v>64</v>
      </c>
      <c r="O74" t="s">
        <v>26</v>
      </c>
      <c r="P74" t="s">
        <v>35</v>
      </c>
      <c r="Q74" t="s">
        <v>35</v>
      </c>
      <c r="R74" s="3">
        <v>161723</v>
      </c>
      <c r="S74" t="str">
        <f>TEXT(personal_finance_dashboard_data_200_rows[[#This Row],[Date]],"mmm")</f>
        <v>Mar</v>
      </c>
      <c r="T74">
        <f>MONTH(personal_finance_dashboard_data_200_rows[[#This Row],[Date]])</f>
        <v>3</v>
      </c>
      <c r="U74" t="str">
        <f>"Q"&amp;ROUNDUP(MONTH(personal_finance_dashboard_data_200_rows[[#This Row],[Date]])/3,0)</f>
        <v>Q1</v>
      </c>
      <c r="V74" t="s">
        <v>345</v>
      </c>
    </row>
    <row r="75" spans="1:22" x14ac:dyDescent="0.3">
      <c r="A75" t="s">
        <v>250</v>
      </c>
      <c r="B75" s="1">
        <v>46097</v>
      </c>
      <c r="C75">
        <v>2026</v>
      </c>
      <c r="D75" t="s">
        <v>44</v>
      </c>
      <c r="E75" t="s">
        <v>20</v>
      </c>
      <c r="F75" t="s">
        <v>66</v>
      </c>
      <c r="G75" t="s">
        <v>130</v>
      </c>
      <c r="H75" t="s">
        <v>40</v>
      </c>
      <c r="I75" t="s">
        <v>131</v>
      </c>
      <c r="J75" t="s">
        <v>130</v>
      </c>
      <c r="K75" s="3">
        <v>4578</v>
      </c>
      <c r="L75" s="3">
        <v>2000</v>
      </c>
      <c r="M75" s="3">
        <v>1000</v>
      </c>
      <c r="N75" t="s">
        <v>25</v>
      </c>
      <c r="O75" t="s">
        <v>26</v>
      </c>
      <c r="P75" t="s">
        <v>35</v>
      </c>
      <c r="Q75" t="s">
        <v>27</v>
      </c>
      <c r="R75" s="3">
        <v>188045</v>
      </c>
      <c r="S75" t="str">
        <f>TEXT(personal_finance_dashboard_data_200_rows[[#This Row],[Date]],"mmm")</f>
        <v>Mar</v>
      </c>
      <c r="T75">
        <f>MONTH(personal_finance_dashboard_data_200_rows[[#This Row],[Date]])</f>
        <v>3</v>
      </c>
      <c r="U75" t="str">
        <f>"Q"&amp;ROUNDUP(MONTH(personal_finance_dashboard_data_200_rows[[#This Row],[Date]])/3,0)</f>
        <v>Q1</v>
      </c>
      <c r="V75" t="s">
        <v>345</v>
      </c>
    </row>
    <row r="76" spans="1:22" x14ac:dyDescent="0.3">
      <c r="A76" t="s">
        <v>273</v>
      </c>
      <c r="B76" s="1">
        <v>46097</v>
      </c>
      <c r="C76">
        <v>2026</v>
      </c>
      <c r="D76" t="s">
        <v>19</v>
      </c>
      <c r="E76" t="s">
        <v>20</v>
      </c>
      <c r="F76" t="s">
        <v>38</v>
      </c>
      <c r="G76" t="s">
        <v>71</v>
      </c>
      <c r="H76" t="s">
        <v>68</v>
      </c>
      <c r="I76" t="s">
        <v>147</v>
      </c>
      <c r="J76" t="s">
        <v>71</v>
      </c>
      <c r="K76" s="3">
        <v>12485</v>
      </c>
      <c r="L76" s="3">
        <v>8000</v>
      </c>
      <c r="M76" s="3">
        <v>0</v>
      </c>
      <c r="N76" t="s">
        <v>25</v>
      </c>
      <c r="O76" t="s">
        <v>26</v>
      </c>
      <c r="P76" t="s">
        <v>27</v>
      </c>
      <c r="Q76" t="s">
        <v>35</v>
      </c>
      <c r="R76" s="3">
        <v>47504</v>
      </c>
      <c r="S76" t="str">
        <f>TEXT(personal_finance_dashboard_data_200_rows[[#This Row],[Date]],"mmm")</f>
        <v>Mar</v>
      </c>
      <c r="T76">
        <f>MONTH(personal_finance_dashboard_data_200_rows[[#This Row],[Date]])</f>
        <v>3</v>
      </c>
      <c r="U76" t="str">
        <f>"Q"&amp;ROUNDUP(MONTH(personal_finance_dashboard_data_200_rows[[#This Row],[Date]])/3,0)</f>
        <v>Q1</v>
      </c>
      <c r="V76" t="s">
        <v>343</v>
      </c>
    </row>
    <row r="77" spans="1:22" x14ac:dyDescent="0.3">
      <c r="A77" t="s">
        <v>289</v>
      </c>
      <c r="B77" s="1">
        <v>46098</v>
      </c>
      <c r="C77">
        <v>2026</v>
      </c>
      <c r="D77" t="s">
        <v>19</v>
      </c>
      <c r="E77" t="s">
        <v>20</v>
      </c>
      <c r="F77" t="s">
        <v>74</v>
      </c>
      <c r="G77" t="s">
        <v>88</v>
      </c>
      <c r="H77" t="s">
        <v>68</v>
      </c>
      <c r="I77" t="s">
        <v>89</v>
      </c>
      <c r="J77" t="s">
        <v>88</v>
      </c>
      <c r="K77" s="3">
        <v>9824</v>
      </c>
      <c r="L77" s="3">
        <v>10000</v>
      </c>
      <c r="M77" s="3">
        <v>2000</v>
      </c>
      <c r="N77" t="s">
        <v>25</v>
      </c>
      <c r="O77" t="s">
        <v>26</v>
      </c>
      <c r="P77" t="s">
        <v>35</v>
      </c>
      <c r="Q77" t="s">
        <v>27</v>
      </c>
      <c r="R77" s="3">
        <v>34999</v>
      </c>
      <c r="S77" t="str">
        <f>TEXT(personal_finance_dashboard_data_200_rows[[#This Row],[Date]],"mmm")</f>
        <v>Mar</v>
      </c>
      <c r="T77">
        <f>MONTH(personal_finance_dashboard_data_200_rows[[#This Row],[Date]])</f>
        <v>3</v>
      </c>
      <c r="U77" t="str">
        <f>"Q"&amp;ROUNDUP(MONTH(personal_finance_dashboard_data_200_rows[[#This Row],[Date]])/3,0)</f>
        <v>Q1</v>
      </c>
      <c r="V77" t="s">
        <v>343</v>
      </c>
    </row>
    <row r="78" spans="1:22" x14ac:dyDescent="0.3">
      <c r="A78" t="s">
        <v>78</v>
      </c>
      <c r="B78" s="1">
        <v>46099</v>
      </c>
      <c r="C78">
        <v>2026</v>
      </c>
      <c r="D78" t="s">
        <v>60</v>
      </c>
      <c r="E78" t="s">
        <v>20</v>
      </c>
      <c r="F78" t="s">
        <v>38</v>
      </c>
      <c r="G78" t="s">
        <v>71</v>
      </c>
      <c r="H78" t="s">
        <v>52</v>
      </c>
      <c r="I78" t="s">
        <v>72</v>
      </c>
      <c r="J78" t="s">
        <v>71</v>
      </c>
      <c r="K78" s="3">
        <v>6354</v>
      </c>
      <c r="L78" s="3">
        <v>8000</v>
      </c>
      <c r="M78" s="3">
        <v>500</v>
      </c>
      <c r="N78" t="s">
        <v>58</v>
      </c>
      <c r="O78" t="s">
        <v>26</v>
      </c>
      <c r="P78" t="s">
        <v>27</v>
      </c>
      <c r="Q78" t="s">
        <v>35</v>
      </c>
      <c r="R78" s="3">
        <v>-16337</v>
      </c>
      <c r="S78" t="str">
        <f>TEXT(personal_finance_dashboard_data_200_rows[[#This Row],[Date]],"mmm")</f>
        <v>Mar</v>
      </c>
      <c r="T78">
        <f>MONTH(personal_finance_dashboard_data_200_rows[[#This Row],[Date]])</f>
        <v>3</v>
      </c>
      <c r="U78" t="str">
        <f>"Q"&amp;ROUNDUP(MONTH(personal_finance_dashboard_data_200_rows[[#This Row],[Date]])/3,0)</f>
        <v>Q1</v>
      </c>
      <c r="V78" t="s">
        <v>343</v>
      </c>
    </row>
    <row r="79" spans="1:22" x14ac:dyDescent="0.3">
      <c r="A79" t="s">
        <v>291</v>
      </c>
      <c r="B79" s="1">
        <v>46099</v>
      </c>
      <c r="C79">
        <v>2026</v>
      </c>
      <c r="D79" t="s">
        <v>37</v>
      </c>
      <c r="E79" t="s">
        <v>20</v>
      </c>
      <c r="F79" t="s">
        <v>84</v>
      </c>
      <c r="G79" t="s">
        <v>85</v>
      </c>
      <c r="H79" t="s">
        <v>40</v>
      </c>
      <c r="I79" t="s">
        <v>86</v>
      </c>
      <c r="J79" t="s">
        <v>85</v>
      </c>
      <c r="K79" s="3">
        <v>17384</v>
      </c>
      <c r="L79" s="3">
        <v>3000</v>
      </c>
      <c r="M79" s="3">
        <v>0</v>
      </c>
      <c r="N79" t="s">
        <v>58</v>
      </c>
      <c r="O79" t="s">
        <v>26</v>
      </c>
      <c r="P79" t="s">
        <v>35</v>
      </c>
      <c r="Q79" t="s">
        <v>27</v>
      </c>
      <c r="R79" s="3">
        <v>77615</v>
      </c>
      <c r="S79" t="str">
        <f>TEXT(personal_finance_dashboard_data_200_rows[[#This Row],[Date]],"mmm")</f>
        <v>Mar</v>
      </c>
      <c r="T79">
        <f>MONTH(personal_finance_dashboard_data_200_rows[[#This Row],[Date]])</f>
        <v>3</v>
      </c>
      <c r="U79" t="str">
        <f>"Q"&amp;ROUNDUP(MONTH(personal_finance_dashboard_data_200_rows[[#This Row],[Date]])/3,0)</f>
        <v>Q1</v>
      </c>
      <c r="V79" t="s">
        <v>343</v>
      </c>
    </row>
    <row r="80" spans="1:22" x14ac:dyDescent="0.3">
      <c r="A80" t="s">
        <v>283</v>
      </c>
      <c r="B80" s="1">
        <v>46100</v>
      </c>
      <c r="C80">
        <v>2026</v>
      </c>
      <c r="D80" t="s">
        <v>44</v>
      </c>
      <c r="E80" t="s">
        <v>29</v>
      </c>
      <c r="F80" t="s">
        <v>50</v>
      </c>
      <c r="G80" t="s">
        <v>51</v>
      </c>
      <c r="H80" t="s">
        <v>100</v>
      </c>
      <c r="I80" t="s">
        <v>53</v>
      </c>
      <c r="J80" t="s">
        <v>54</v>
      </c>
      <c r="K80" s="3">
        <v>15000</v>
      </c>
      <c r="L80" s="3">
        <v>0</v>
      </c>
      <c r="M80" s="3">
        <v>5000</v>
      </c>
      <c r="N80" t="s">
        <v>42</v>
      </c>
      <c r="O80" t="s">
        <v>26</v>
      </c>
      <c r="P80" t="s">
        <v>35</v>
      </c>
      <c r="Q80" t="s">
        <v>35</v>
      </c>
      <c r="R80" s="3">
        <v>92459</v>
      </c>
      <c r="S80" t="str">
        <f>TEXT(personal_finance_dashboard_data_200_rows[[#This Row],[Date]],"mmm")</f>
        <v>Mar</v>
      </c>
      <c r="T80">
        <f>MONTH(personal_finance_dashboard_data_200_rows[[#This Row],[Date]])</f>
        <v>3</v>
      </c>
      <c r="U80" t="str">
        <f>"Q"&amp;ROUNDUP(MONTH(personal_finance_dashboard_data_200_rows[[#This Row],[Date]])/3,0)</f>
        <v>Q1</v>
      </c>
      <c r="V80" t="s">
        <v>342</v>
      </c>
    </row>
    <row r="81" spans="1:22" x14ac:dyDescent="0.3">
      <c r="A81" t="s">
        <v>293</v>
      </c>
      <c r="B81" s="1">
        <v>46101</v>
      </c>
      <c r="C81">
        <v>2026</v>
      </c>
      <c r="D81" t="s">
        <v>19</v>
      </c>
      <c r="E81" t="s">
        <v>20</v>
      </c>
      <c r="F81" t="s">
        <v>21</v>
      </c>
      <c r="G81" t="s">
        <v>22</v>
      </c>
      <c r="H81" t="s">
        <v>68</v>
      </c>
      <c r="I81" t="s">
        <v>118</v>
      </c>
      <c r="J81" t="s">
        <v>22</v>
      </c>
      <c r="K81" s="3">
        <v>4373</v>
      </c>
      <c r="L81" s="3">
        <v>4000</v>
      </c>
      <c r="M81" s="3">
        <v>0</v>
      </c>
      <c r="N81" t="s">
        <v>64</v>
      </c>
      <c r="O81" t="s">
        <v>26</v>
      </c>
      <c r="P81" t="s">
        <v>27</v>
      </c>
      <c r="Q81" t="s">
        <v>27</v>
      </c>
      <c r="R81" s="3">
        <v>64197</v>
      </c>
      <c r="S81" t="str">
        <f>TEXT(personal_finance_dashboard_data_200_rows[[#This Row],[Date]],"mmm")</f>
        <v>Mar</v>
      </c>
      <c r="T81">
        <f>MONTH(personal_finance_dashboard_data_200_rows[[#This Row],[Date]])</f>
        <v>3</v>
      </c>
      <c r="U81" t="str">
        <f>"Q"&amp;ROUNDUP(MONTH(personal_finance_dashboard_data_200_rows[[#This Row],[Date]])/3,0)</f>
        <v>Q1</v>
      </c>
      <c r="V81" t="s">
        <v>343</v>
      </c>
    </row>
    <row r="82" spans="1:22" x14ac:dyDescent="0.3">
      <c r="A82" t="s">
        <v>307</v>
      </c>
      <c r="B82" s="1">
        <v>46101</v>
      </c>
      <c r="C82">
        <v>2026</v>
      </c>
      <c r="D82" t="s">
        <v>37</v>
      </c>
      <c r="E82" t="s">
        <v>20</v>
      </c>
      <c r="F82" t="s">
        <v>84</v>
      </c>
      <c r="G82" t="s">
        <v>85</v>
      </c>
      <c r="H82" t="s">
        <v>32</v>
      </c>
      <c r="I82" t="s">
        <v>86</v>
      </c>
      <c r="J82" t="s">
        <v>85</v>
      </c>
      <c r="K82" s="3">
        <v>9516</v>
      </c>
      <c r="L82" s="3">
        <v>3000</v>
      </c>
      <c r="M82" s="3">
        <v>2000</v>
      </c>
      <c r="N82" t="s">
        <v>42</v>
      </c>
      <c r="O82" t="s">
        <v>26</v>
      </c>
      <c r="P82" t="s">
        <v>35</v>
      </c>
      <c r="Q82" t="s">
        <v>27</v>
      </c>
      <c r="R82" s="3">
        <v>68616</v>
      </c>
      <c r="S82" t="str">
        <f>TEXT(personal_finance_dashboard_data_200_rows[[#This Row],[Date]],"mmm")</f>
        <v>Mar</v>
      </c>
      <c r="T82">
        <f>MONTH(personal_finance_dashboard_data_200_rows[[#This Row],[Date]])</f>
        <v>3</v>
      </c>
      <c r="U82" t="str">
        <f>"Q"&amp;ROUNDUP(MONTH(personal_finance_dashboard_data_200_rows[[#This Row],[Date]])/3,0)</f>
        <v>Q1</v>
      </c>
      <c r="V82" t="s">
        <v>344</v>
      </c>
    </row>
    <row r="83" spans="1:22" x14ac:dyDescent="0.3">
      <c r="A83" t="s">
        <v>120</v>
      </c>
      <c r="B83" s="1">
        <v>46102</v>
      </c>
      <c r="C83">
        <v>2026</v>
      </c>
      <c r="D83" t="s">
        <v>37</v>
      </c>
      <c r="E83" t="s">
        <v>29</v>
      </c>
      <c r="F83" t="s">
        <v>30</v>
      </c>
      <c r="G83" t="s">
        <v>31</v>
      </c>
      <c r="H83" t="s">
        <v>23</v>
      </c>
      <c r="I83" t="s">
        <v>33</v>
      </c>
      <c r="J83" t="s">
        <v>34</v>
      </c>
      <c r="K83" s="3">
        <v>55000</v>
      </c>
      <c r="L83" s="3">
        <v>0</v>
      </c>
      <c r="M83" s="3">
        <v>5000</v>
      </c>
      <c r="N83" t="s">
        <v>58</v>
      </c>
      <c r="O83" t="s">
        <v>26</v>
      </c>
      <c r="P83" t="s">
        <v>35</v>
      </c>
      <c r="Q83" t="s">
        <v>35</v>
      </c>
      <c r="R83" s="3">
        <v>162795</v>
      </c>
      <c r="S83" t="str">
        <f>TEXT(personal_finance_dashboard_data_200_rows[[#This Row],[Date]],"mmm")</f>
        <v>Mar</v>
      </c>
      <c r="T83">
        <f>MONTH(personal_finance_dashboard_data_200_rows[[#This Row],[Date]])</f>
        <v>3</v>
      </c>
      <c r="U83" t="str">
        <f>"Q"&amp;ROUNDUP(MONTH(personal_finance_dashboard_data_200_rows[[#This Row],[Date]])/3,0)</f>
        <v>Q1</v>
      </c>
      <c r="V83" t="s">
        <v>343</v>
      </c>
    </row>
    <row r="84" spans="1:22" x14ac:dyDescent="0.3">
      <c r="A84" t="s">
        <v>149</v>
      </c>
      <c r="B84" s="1">
        <v>46103</v>
      </c>
      <c r="C84">
        <v>2026</v>
      </c>
      <c r="D84" t="s">
        <v>19</v>
      </c>
      <c r="E84" t="s">
        <v>29</v>
      </c>
      <c r="F84" t="s">
        <v>30</v>
      </c>
      <c r="G84" t="s">
        <v>31</v>
      </c>
      <c r="H84" t="s">
        <v>52</v>
      </c>
      <c r="I84" t="s">
        <v>33</v>
      </c>
      <c r="J84" t="s">
        <v>34</v>
      </c>
      <c r="K84" s="3">
        <v>60000</v>
      </c>
      <c r="L84" s="3">
        <v>0</v>
      </c>
      <c r="M84" s="3">
        <v>0</v>
      </c>
      <c r="N84" t="s">
        <v>48</v>
      </c>
      <c r="O84" t="s">
        <v>26</v>
      </c>
      <c r="P84" t="s">
        <v>35</v>
      </c>
      <c r="Q84" t="s">
        <v>35</v>
      </c>
      <c r="R84" s="3">
        <v>112588</v>
      </c>
      <c r="S84" t="str">
        <f>TEXT(personal_finance_dashboard_data_200_rows[[#This Row],[Date]],"mmm")</f>
        <v>Mar</v>
      </c>
      <c r="T84">
        <f>MONTH(personal_finance_dashboard_data_200_rows[[#This Row],[Date]])</f>
        <v>3</v>
      </c>
      <c r="U84" t="str">
        <f>"Q"&amp;ROUNDUP(MONTH(personal_finance_dashboard_data_200_rows[[#This Row],[Date]])/3,0)</f>
        <v>Q1</v>
      </c>
      <c r="V84" t="s">
        <v>344</v>
      </c>
    </row>
    <row r="85" spans="1:22" x14ac:dyDescent="0.3">
      <c r="A85" t="s">
        <v>230</v>
      </c>
      <c r="B85" s="1">
        <v>46106</v>
      </c>
      <c r="C85">
        <v>2026</v>
      </c>
      <c r="D85" t="s">
        <v>60</v>
      </c>
      <c r="E85" t="s">
        <v>29</v>
      </c>
      <c r="F85" t="s">
        <v>30</v>
      </c>
      <c r="G85" t="s">
        <v>31</v>
      </c>
      <c r="H85" t="s">
        <v>23</v>
      </c>
      <c r="I85" t="s">
        <v>33</v>
      </c>
      <c r="J85" t="s">
        <v>34</v>
      </c>
      <c r="K85" s="3">
        <v>55000</v>
      </c>
      <c r="L85" s="3">
        <v>0</v>
      </c>
      <c r="M85" s="3">
        <v>2000</v>
      </c>
      <c r="N85" t="s">
        <v>48</v>
      </c>
      <c r="O85" t="s">
        <v>26</v>
      </c>
      <c r="P85" t="s">
        <v>35</v>
      </c>
      <c r="Q85" t="s">
        <v>35</v>
      </c>
      <c r="R85" s="3">
        <v>183044</v>
      </c>
      <c r="S85" t="str">
        <f>TEXT(personal_finance_dashboard_data_200_rows[[#This Row],[Date]],"mmm")</f>
        <v>Mar</v>
      </c>
      <c r="T85">
        <f>MONTH(personal_finance_dashboard_data_200_rows[[#This Row],[Date]])</f>
        <v>3</v>
      </c>
      <c r="U85" t="str">
        <f>"Q"&amp;ROUNDUP(MONTH(personal_finance_dashboard_data_200_rows[[#This Row],[Date]])/3,0)</f>
        <v>Q1</v>
      </c>
      <c r="V85" t="s">
        <v>343</v>
      </c>
    </row>
    <row r="86" spans="1:22" x14ac:dyDescent="0.3">
      <c r="A86" t="s">
        <v>183</v>
      </c>
      <c r="B86" s="1">
        <v>46109</v>
      </c>
      <c r="C86">
        <v>2026</v>
      </c>
      <c r="D86" t="s">
        <v>60</v>
      </c>
      <c r="E86" t="s">
        <v>20</v>
      </c>
      <c r="F86" t="s">
        <v>21</v>
      </c>
      <c r="G86" t="s">
        <v>22</v>
      </c>
      <c r="H86" t="s">
        <v>100</v>
      </c>
      <c r="I86" t="s">
        <v>118</v>
      </c>
      <c r="J86" t="s">
        <v>22</v>
      </c>
      <c r="K86" s="3">
        <v>13049</v>
      </c>
      <c r="L86" s="3">
        <v>4000</v>
      </c>
      <c r="M86" s="3">
        <v>0</v>
      </c>
      <c r="N86" t="s">
        <v>97</v>
      </c>
      <c r="O86" t="s">
        <v>26</v>
      </c>
      <c r="P86" t="s">
        <v>27</v>
      </c>
      <c r="Q86" t="s">
        <v>27</v>
      </c>
      <c r="R86" s="3">
        <v>153576</v>
      </c>
      <c r="S86" t="str">
        <f>TEXT(personal_finance_dashboard_data_200_rows[[#This Row],[Date]],"mmm")</f>
        <v>Mar</v>
      </c>
      <c r="T86">
        <f>MONTH(personal_finance_dashboard_data_200_rows[[#This Row],[Date]])</f>
        <v>3</v>
      </c>
      <c r="U86" t="str">
        <f>"Q"&amp;ROUNDUP(MONTH(personal_finance_dashboard_data_200_rows[[#This Row],[Date]])/3,0)</f>
        <v>Q1</v>
      </c>
      <c r="V86" t="s">
        <v>342</v>
      </c>
    </row>
    <row r="87" spans="1:22" x14ac:dyDescent="0.3">
      <c r="A87" t="s">
        <v>153</v>
      </c>
      <c r="B87" s="1">
        <v>46110</v>
      </c>
      <c r="C87">
        <v>2026</v>
      </c>
      <c r="D87" t="s">
        <v>19</v>
      </c>
      <c r="E87" t="s">
        <v>20</v>
      </c>
      <c r="F87" t="s">
        <v>110</v>
      </c>
      <c r="G87" t="s">
        <v>111</v>
      </c>
      <c r="H87" t="s">
        <v>40</v>
      </c>
      <c r="I87" t="s">
        <v>154</v>
      </c>
      <c r="J87" t="s">
        <v>111</v>
      </c>
      <c r="K87" s="3">
        <v>7450</v>
      </c>
      <c r="L87" s="3">
        <v>5000</v>
      </c>
      <c r="M87" s="3">
        <v>500</v>
      </c>
      <c r="N87" t="s">
        <v>97</v>
      </c>
      <c r="O87" t="s">
        <v>26</v>
      </c>
      <c r="P87" t="s">
        <v>27</v>
      </c>
      <c r="Q87" t="s">
        <v>27</v>
      </c>
      <c r="R87" s="3">
        <v>78790</v>
      </c>
      <c r="S87" t="str">
        <f>TEXT(personal_finance_dashboard_data_200_rows[[#This Row],[Date]],"mmm")</f>
        <v>Mar</v>
      </c>
      <c r="T87">
        <f>MONTH(personal_finance_dashboard_data_200_rows[[#This Row],[Date]])</f>
        <v>3</v>
      </c>
      <c r="U87" t="str">
        <f>"Q"&amp;ROUNDUP(MONTH(personal_finance_dashboard_data_200_rows[[#This Row],[Date]])/3,0)</f>
        <v>Q1</v>
      </c>
      <c r="V87" t="s">
        <v>343</v>
      </c>
    </row>
    <row r="88" spans="1:22" x14ac:dyDescent="0.3">
      <c r="A88" t="s">
        <v>217</v>
      </c>
      <c r="B88" s="1">
        <v>46110</v>
      </c>
      <c r="C88">
        <v>2026</v>
      </c>
      <c r="D88" t="s">
        <v>44</v>
      </c>
      <c r="E88" t="s">
        <v>29</v>
      </c>
      <c r="F88" t="s">
        <v>30</v>
      </c>
      <c r="G88" t="s">
        <v>31</v>
      </c>
      <c r="H88" t="s">
        <v>52</v>
      </c>
      <c r="I88" t="s">
        <v>33</v>
      </c>
      <c r="J88" t="s">
        <v>34</v>
      </c>
      <c r="K88" s="3">
        <v>45000</v>
      </c>
      <c r="L88" s="3">
        <v>0</v>
      </c>
      <c r="M88" s="3">
        <v>0</v>
      </c>
      <c r="N88" t="s">
        <v>25</v>
      </c>
      <c r="O88" t="s">
        <v>26</v>
      </c>
      <c r="P88" t="s">
        <v>35</v>
      </c>
      <c r="Q88" t="s">
        <v>35</v>
      </c>
      <c r="R88" s="3">
        <v>96014</v>
      </c>
      <c r="S88" t="str">
        <f>TEXT(personal_finance_dashboard_data_200_rows[[#This Row],[Date]],"mmm")</f>
        <v>Mar</v>
      </c>
      <c r="T88">
        <f>MONTH(personal_finance_dashboard_data_200_rows[[#This Row],[Date]])</f>
        <v>3</v>
      </c>
      <c r="U88" t="str">
        <f>"Q"&amp;ROUNDUP(MONTH(personal_finance_dashboard_data_200_rows[[#This Row],[Date]])/3,0)</f>
        <v>Q1</v>
      </c>
      <c r="V88" t="s">
        <v>342</v>
      </c>
    </row>
    <row r="89" spans="1:22" x14ac:dyDescent="0.3">
      <c r="A89" t="s">
        <v>164</v>
      </c>
      <c r="B89" s="1">
        <v>46111</v>
      </c>
      <c r="C89">
        <v>2026</v>
      </c>
      <c r="D89" t="s">
        <v>37</v>
      </c>
      <c r="E89" t="s">
        <v>20</v>
      </c>
      <c r="F89" t="s">
        <v>92</v>
      </c>
      <c r="G89" t="s">
        <v>93</v>
      </c>
      <c r="H89" t="s">
        <v>68</v>
      </c>
      <c r="I89" t="s">
        <v>94</v>
      </c>
      <c r="J89" t="s">
        <v>93</v>
      </c>
      <c r="K89" s="3">
        <v>2641</v>
      </c>
      <c r="L89" s="3">
        <v>5000</v>
      </c>
      <c r="M89" s="3">
        <v>0</v>
      </c>
      <c r="N89" t="s">
        <v>25</v>
      </c>
      <c r="O89" t="s">
        <v>26</v>
      </c>
      <c r="P89" t="s">
        <v>27</v>
      </c>
      <c r="Q89" t="s">
        <v>27</v>
      </c>
      <c r="R89" s="3">
        <v>90679</v>
      </c>
      <c r="S89" t="str">
        <f>TEXT(personal_finance_dashboard_data_200_rows[[#This Row],[Date]],"mmm")</f>
        <v>Mar</v>
      </c>
      <c r="T89">
        <f>MONTH(personal_finance_dashboard_data_200_rows[[#This Row],[Date]])</f>
        <v>3</v>
      </c>
      <c r="U89" t="str">
        <f>"Q"&amp;ROUNDUP(MONTH(personal_finance_dashboard_data_200_rows[[#This Row],[Date]])/3,0)</f>
        <v>Q1</v>
      </c>
      <c r="V89" t="s">
        <v>342</v>
      </c>
    </row>
    <row r="90" spans="1:22" x14ac:dyDescent="0.3">
      <c r="A90" t="s">
        <v>226</v>
      </c>
      <c r="B90" s="1">
        <v>46113</v>
      </c>
      <c r="C90">
        <v>2026</v>
      </c>
      <c r="D90" t="s">
        <v>37</v>
      </c>
      <c r="E90" t="s">
        <v>29</v>
      </c>
      <c r="F90" t="s">
        <v>30</v>
      </c>
      <c r="G90" t="s">
        <v>31</v>
      </c>
      <c r="H90" t="s">
        <v>23</v>
      </c>
      <c r="I90" t="s">
        <v>33</v>
      </c>
      <c r="J90" t="s">
        <v>34</v>
      </c>
      <c r="K90" s="3">
        <v>50000</v>
      </c>
      <c r="L90" s="3">
        <v>0</v>
      </c>
      <c r="M90" s="3">
        <v>2000</v>
      </c>
      <c r="N90" t="s">
        <v>58</v>
      </c>
      <c r="O90" t="s">
        <v>26</v>
      </c>
      <c r="P90" t="s">
        <v>35</v>
      </c>
      <c r="Q90" t="s">
        <v>35</v>
      </c>
      <c r="R90" s="3">
        <v>159823</v>
      </c>
      <c r="S90" t="str">
        <f>TEXT(personal_finance_dashboard_data_200_rows[[#This Row],[Date]],"mmm")</f>
        <v>Apr</v>
      </c>
      <c r="T90">
        <f>MONTH(personal_finance_dashboard_data_200_rows[[#This Row],[Date]])</f>
        <v>4</v>
      </c>
      <c r="U90" t="str">
        <f>"Q"&amp;ROUNDUP(MONTH(personal_finance_dashboard_data_200_rows[[#This Row],[Date]])/3,0)</f>
        <v>Q2</v>
      </c>
      <c r="V90" t="s">
        <v>343</v>
      </c>
    </row>
    <row r="91" spans="1:22" x14ac:dyDescent="0.3">
      <c r="A91" t="s">
        <v>95</v>
      </c>
      <c r="B91" s="1">
        <v>46114</v>
      </c>
      <c r="C91">
        <v>2026</v>
      </c>
      <c r="D91" t="s">
        <v>60</v>
      </c>
      <c r="E91" t="s">
        <v>20</v>
      </c>
      <c r="F91" t="s">
        <v>45</v>
      </c>
      <c r="G91" t="s">
        <v>46</v>
      </c>
      <c r="H91" t="s">
        <v>23</v>
      </c>
      <c r="I91" t="s">
        <v>96</v>
      </c>
      <c r="J91" t="s">
        <v>46</v>
      </c>
      <c r="K91" s="3">
        <v>22000</v>
      </c>
      <c r="L91" s="3">
        <v>20000</v>
      </c>
      <c r="M91" s="3">
        <v>500</v>
      </c>
      <c r="N91" t="s">
        <v>97</v>
      </c>
      <c r="O91" t="s">
        <v>26</v>
      </c>
      <c r="P91" t="s">
        <v>35</v>
      </c>
      <c r="Q91" t="s">
        <v>27</v>
      </c>
      <c r="R91" s="3">
        <v>-91689</v>
      </c>
      <c r="S91" t="str">
        <f>TEXT(personal_finance_dashboard_data_200_rows[[#This Row],[Date]],"mmm")</f>
        <v>Apr</v>
      </c>
      <c r="T91">
        <f>MONTH(personal_finance_dashboard_data_200_rows[[#This Row],[Date]])</f>
        <v>4</v>
      </c>
      <c r="U91" t="str">
        <f>"Q"&amp;ROUNDUP(MONTH(personal_finance_dashboard_data_200_rows[[#This Row],[Date]])/3,0)</f>
        <v>Q2</v>
      </c>
      <c r="V91" t="s">
        <v>345</v>
      </c>
    </row>
    <row r="92" spans="1:22" x14ac:dyDescent="0.3">
      <c r="A92" t="s">
        <v>43</v>
      </c>
      <c r="B92" s="1">
        <v>46115</v>
      </c>
      <c r="C92">
        <v>2026</v>
      </c>
      <c r="D92" t="s">
        <v>44</v>
      </c>
      <c r="E92" t="s">
        <v>20</v>
      </c>
      <c r="F92" t="s">
        <v>45</v>
      </c>
      <c r="G92" t="s">
        <v>46</v>
      </c>
      <c r="H92" t="s">
        <v>32</v>
      </c>
      <c r="I92" t="s">
        <v>47</v>
      </c>
      <c r="J92" t="s">
        <v>46</v>
      </c>
      <c r="K92" s="3">
        <v>22000</v>
      </c>
      <c r="L92" s="3">
        <v>20000</v>
      </c>
      <c r="M92" s="3">
        <v>2000</v>
      </c>
      <c r="N92" t="s">
        <v>48</v>
      </c>
      <c r="O92" t="s">
        <v>26</v>
      </c>
      <c r="P92" t="s">
        <v>35</v>
      </c>
      <c r="Q92" t="s">
        <v>27</v>
      </c>
      <c r="R92" s="3">
        <v>40373</v>
      </c>
      <c r="S92" t="str">
        <f>TEXT(personal_finance_dashboard_data_200_rows[[#This Row],[Date]],"mmm")</f>
        <v>Apr</v>
      </c>
      <c r="T92">
        <f>MONTH(personal_finance_dashboard_data_200_rows[[#This Row],[Date]])</f>
        <v>4</v>
      </c>
      <c r="U92" t="str">
        <f>"Q"&amp;ROUNDUP(MONTH(personal_finance_dashboard_data_200_rows[[#This Row],[Date]])/3,0)</f>
        <v>Q2</v>
      </c>
      <c r="V92" t="s">
        <v>345</v>
      </c>
    </row>
    <row r="93" spans="1:22" x14ac:dyDescent="0.3">
      <c r="A93" t="s">
        <v>238</v>
      </c>
      <c r="B93" s="1">
        <v>46117</v>
      </c>
      <c r="C93">
        <v>2026</v>
      </c>
      <c r="D93" t="s">
        <v>37</v>
      </c>
      <c r="E93" t="s">
        <v>20</v>
      </c>
      <c r="F93" t="s">
        <v>92</v>
      </c>
      <c r="G93" t="s">
        <v>93</v>
      </c>
      <c r="H93" t="s">
        <v>100</v>
      </c>
      <c r="I93" t="s">
        <v>94</v>
      </c>
      <c r="J93" t="s">
        <v>93</v>
      </c>
      <c r="K93" s="3">
        <v>17998</v>
      </c>
      <c r="L93" s="3">
        <v>5000</v>
      </c>
      <c r="M93" s="3">
        <v>1000</v>
      </c>
      <c r="N93" t="s">
        <v>97</v>
      </c>
      <c r="O93" t="s">
        <v>26</v>
      </c>
      <c r="P93" t="s">
        <v>27</v>
      </c>
      <c r="Q93" t="s">
        <v>27</v>
      </c>
      <c r="R93" s="3">
        <v>177954</v>
      </c>
      <c r="S93" t="str">
        <f>TEXT(personal_finance_dashboard_data_200_rows[[#This Row],[Date]],"mmm")</f>
        <v>Apr</v>
      </c>
      <c r="T93">
        <f>MONTH(personal_finance_dashboard_data_200_rows[[#This Row],[Date]])</f>
        <v>4</v>
      </c>
      <c r="U93" t="str">
        <f>"Q"&amp;ROUNDUP(MONTH(personal_finance_dashboard_data_200_rows[[#This Row],[Date]])/3,0)</f>
        <v>Q2</v>
      </c>
      <c r="V93" t="s">
        <v>342</v>
      </c>
    </row>
    <row r="94" spans="1:22" x14ac:dyDescent="0.3">
      <c r="A94" t="s">
        <v>254</v>
      </c>
      <c r="B94" s="1">
        <v>46117</v>
      </c>
      <c r="C94">
        <v>2026</v>
      </c>
      <c r="D94" t="s">
        <v>37</v>
      </c>
      <c r="E94" t="s">
        <v>29</v>
      </c>
      <c r="F94" t="s">
        <v>50</v>
      </c>
      <c r="G94" t="s">
        <v>51</v>
      </c>
      <c r="H94" t="s">
        <v>52</v>
      </c>
      <c r="I94" t="s">
        <v>53</v>
      </c>
      <c r="J94" t="s">
        <v>54</v>
      </c>
      <c r="K94" s="3">
        <v>5000</v>
      </c>
      <c r="L94" s="3">
        <v>0</v>
      </c>
      <c r="M94" s="3">
        <v>2000</v>
      </c>
      <c r="N94" t="s">
        <v>25</v>
      </c>
      <c r="O94" t="s">
        <v>26</v>
      </c>
      <c r="P94" t="s">
        <v>27</v>
      </c>
      <c r="Q94" t="s">
        <v>27</v>
      </c>
      <c r="R94" s="3">
        <v>154789</v>
      </c>
      <c r="S94" t="str">
        <f>TEXT(personal_finance_dashboard_data_200_rows[[#This Row],[Date]],"mmm")</f>
        <v>Apr</v>
      </c>
      <c r="T94">
        <f>MONTH(personal_finance_dashboard_data_200_rows[[#This Row],[Date]])</f>
        <v>4</v>
      </c>
      <c r="U94" t="str">
        <f>"Q"&amp;ROUNDUP(MONTH(personal_finance_dashboard_data_200_rows[[#This Row],[Date]])/3,0)</f>
        <v>Q2</v>
      </c>
      <c r="V94" t="s">
        <v>342</v>
      </c>
    </row>
    <row r="95" spans="1:22" x14ac:dyDescent="0.3">
      <c r="A95" t="s">
        <v>229</v>
      </c>
      <c r="B95" s="1">
        <v>46118</v>
      </c>
      <c r="C95">
        <v>2026</v>
      </c>
      <c r="D95" t="s">
        <v>44</v>
      </c>
      <c r="E95" t="s">
        <v>20</v>
      </c>
      <c r="F95" t="s">
        <v>74</v>
      </c>
      <c r="G95" t="s">
        <v>166</v>
      </c>
      <c r="H95" t="s">
        <v>52</v>
      </c>
      <c r="I95" t="s">
        <v>167</v>
      </c>
      <c r="J95" t="s">
        <v>166</v>
      </c>
      <c r="K95" s="3">
        <v>15662</v>
      </c>
      <c r="L95" s="3">
        <v>10000</v>
      </c>
      <c r="M95" s="3">
        <v>0</v>
      </c>
      <c r="N95" t="s">
        <v>25</v>
      </c>
      <c r="O95" t="s">
        <v>26</v>
      </c>
      <c r="P95" t="s">
        <v>35</v>
      </c>
      <c r="Q95" t="s">
        <v>27</v>
      </c>
      <c r="R95" s="3">
        <v>128044</v>
      </c>
      <c r="S95" t="str">
        <f>TEXT(personal_finance_dashboard_data_200_rows[[#This Row],[Date]],"mmm")</f>
        <v>Apr</v>
      </c>
      <c r="T95">
        <f>MONTH(personal_finance_dashboard_data_200_rows[[#This Row],[Date]])</f>
        <v>4</v>
      </c>
      <c r="U95" t="str">
        <f>"Q"&amp;ROUNDUP(MONTH(personal_finance_dashboard_data_200_rows[[#This Row],[Date]])/3,0)</f>
        <v>Q2</v>
      </c>
      <c r="V95" t="s">
        <v>343</v>
      </c>
    </row>
    <row r="96" spans="1:22" x14ac:dyDescent="0.3">
      <c r="A96" t="s">
        <v>79</v>
      </c>
      <c r="B96" s="1">
        <v>46119</v>
      </c>
      <c r="C96">
        <v>2026</v>
      </c>
      <c r="D96" t="s">
        <v>37</v>
      </c>
      <c r="E96" t="s">
        <v>20</v>
      </c>
      <c r="F96" t="s">
        <v>61</v>
      </c>
      <c r="G96" t="s">
        <v>62</v>
      </c>
      <c r="H96" t="s">
        <v>68</v>
      </c>
      <c r="I96" t="s">
        <v>63</v>
      </c>
      <c r="J96" t="s">
        <v>62</v>
      </c>
      <c r="K96" s="3">
        <v>11121</v>
      </c>
      <c r="L96" s="3">
        <v>3000</v>
      </c>
      <c r="M96" s="3">
        <v>0</v>
      </c>
      <c r="N96" t="s">
        <v>48</v>
      </c>
      <c r="O96" t="s">
        <v>26</v>
      </c>
      <c r="P96" t="s">
        <v>27</v>
      </c>
      <c r="Q96" t="s">
        <v>27</v>
      </c>
      <c r="R96" s="3">
        <v>-27458</v>
      </c>
      <c r="S96" t="str">
        <f>TEXT(personal_finance_dashboard_data_200_rows[[#This Row],[Date]],"mmm")</f>
        <v>Apr</v>
      </c>
      <c r="T96">
        <f>MONTH(personal_finance_dashboard_data_200_rows[[#This Row],[Date]])</f>
        <v>4</v>
      </c>
      <c r="U96" t="str">
        <f>"Q"&amp;ROUNDUP(MONTH(personal_finance_dashboard_data_200_rows[[#This Row],[Date]])/3,0)</f>
        <v>Q2</v>
      </c>
      <c r="V96" t="s">
        <v>342</v>
      </c>
    </row>
    <row r="97" spans="1:22" x14ac:dyDescent="0.3">
      <c r="A97" t="s">
        <v>213</v>
      </c>
      <c r="B97" s="1">
        <v>46119</v>
      </c>
      <c r="C97">
        <v>2026</v>
      </c>
      <c r="D97" t="s">
        <v>37</v>
      </c>
      <c r="E97" t="s">
        <v>29</v>
      </c>
      <c r="F97" t="s">
        <v>122</v>
      </c>
      <c r="G97" t="s">
        <v>122</v>
      </c>
      <c r="H97" t="s">
        <v>32</v>
      </c>
      <c r="I97" t="s">
        <v>214</v>
      </c>
      <c r="J97" t="s">
        <v>124</v>
      </c>
      <c r="K97" s="3">
        <v>500</v>
      </c>
      <c r="L97" s="3">
        <v>0</v>
      </c>
      <c r="M97" s="3">
        <v>10000</v>
      </c>
      <c r="N97" t="s">
        <v>48</v>
      </c>
      <c r="O97" t="s">
        <v>26</v>
      </c>
      <c r="P97" t="s">
        <v>27</v>
      </c>
      <c r="Q97" t="s">
        <v>27</v>
      </c>
      <c r="R97" s="3">
        <v>277</v>
      </c>
      <c r="S97" t="str">
        <f>TEXT(personal_finance_dashboard_data_200_rows[[#This Row],[Date]],"mmm")</f>
        <v>Apr</v>
      </c>
      <c r="T97">
        <f>MONTH(personal_finance_dashboard_data_200_rows[[#This Row],[Date]])</f>
        <v>4</v>
      </c>
      <c r="U97" t="str">
        <f>"Q"&amp;ROUNDUP(MONTH(personal_finance_dashboard_data_200_rows[[#This Row],[Date]])/3,0)</f>
        <v>Q2</v>
      </c>
      <c r="V97" t="s">
        <v>342</v>
      </c>
    </row>
    <row r="98" spans="1:22" x14ac:dyDescent="0.3">
      <c r="A98" t="s">
        <v>218</v>
      </c>
      <c r="B98" s="1">
        <v>46120</v>
      </c>
      <c r="C98">
        <v>2026</v>
      </c>
      <c r="D98" t="s">
        <v>60</v>
      </c>
      <c r="E98" t="s">
        <v>20</v>
      </c>
      <c r="F98" t="s">
        <v>66</v>
      </c>
      <c r="G98" t="s">
        <v>130</v>
      </c>
      <c r="H98" t="s">
        <v>52</v>
      </c>
      <c r="I98" t="s">
        <v>69</v>
      </c>
      <c r="J98" t="s">
        <v>130</v>
      </c>
      <c r="K98" s="3">
        <v>11129</v>
      </c>
      <c r="L98" s="3">
        <v>2000</v>
      </c>
      <c r="M98" s="3">
        <v>2000</v>
      </c>
      <c r="N98" t="s">
        <v>97</v>
      </c>
      <c r="O98" t="s">
        <v>26</v>
      </c>
      <c r="P98" t="s">
        <v>35</v>
      </c>
      <c r="Q98" t="s">
        <v>35</v>
      </c>
      <c r="R98" s="3">
        <v>84885</v>
      </c>
      <c r="S98" t="str">
        <f>TEXT(personal_finance_dashboard_data_200_rows[[#This Row],[Date]],"mmm")</f>
        <v>Apr</v>
      </c>
      <c r="T98">
        <f>MONTH(personal_finance_dashboard_data_200_rows[[#This Row],[Date]])</f>
        <v>4</v>
      </c>
      <c r="U98" t="str">
        <f>"Q"&amp;ROUNDUP(MONTH(personal_finance_dashboard_data_200_rows[[#This Row],[Date]])/3,0)</f>
        <v>Q2</v>
      </c>
      <c r="V98" t="s">
        <v>343</v>
      </c>
    </row>
    <row r="99" spans="1:22" x14ac:dyDescent="0.3">
      <c r="A99" t="s">
        <v>77</v>
      </c>
      <c r="B99" s="1">
        <v>46121</v>
      </c>
      <c r="C99">
        <v>2026</v>
      </c>
      <c r="D99" t="s">
        <v>60</v>
      </c>
      <c r="E99" t="s">
        <v>20</v>
      </c>
      <c r="F99" t="s">
        <v>61</v>
      </c>
      <c r="G99" t="s">
        <v>62</v>
      </c>
      <c r="H99" t="s">
        <v>23</v>
      </c>
      <c r="I99" t="s">
        <v>63</v>
      </c>
      <c r="J99" t="s">
        <v>62</v>
      </c>
      <c r="K99" s="3">
        <v>4253</v>
      </c>
      <c r="L99" s="3">
        <v>3000</v>
      </c>
      <c r="M99" s="3">
        <v>500</v>
      </c>
      <c r="N99" t="s">
        <v>48</v>
      </c>
      <c r="O99" t="s">
        <v>26</v>
      </c>
      <c r="P99" t="s">
        <v>35</v>
      </c>
      <c r="Q99" t="s">
        <v>27</v>
      </c>
      <c r="R99" s="3">
        <v>-9983</v>
      </c>
      <c r="S99" t="str">
        <f>TEXT(personal_finance_dashboard_data_200_rows[[#This Row],[Date]],"mmm")</f>
        <v>Apr</v>
      </c>
      <c r="T99">
        <f>MONTH(personal_finance_dashboard_data_200_rows[[#This Row],[Date]])</f>
        <v>4</v>
      </c>
      <c r="U99" t="str">
        <f>"Q"&amp;ROUNDUP(MONTH(personal_finance_dashboard_data_200_rows[[#This Row],[Date]])/3,0)</f>
        <v>Q2</v>
      </c>
      <c r="V99" t="s">
        <v>344</v>
      </c>
    </row>
    <row r="100" spans="1:22" x14ac:dyDescent="0.3">
      <c r="A100" t="s">
        <v>145</v>
      </c>
      <c r="B100" s="1">
        <v>46121</v>
      </c>
      <c r="C100">
        <v>2026</v>
      </c>
      <c r="D100" t="s">
        <v>44</v>
      </c>
      <c r="E100" t="s">
        <v>20</v>
      </c>
      <c r="F100" t="s">
        <v>66</v>
      </c>
      <c r="G100" t="s">
        <v>130</v>
      </c>
      <c r="H100" t="s">
        <v>68</v>
      </c>
      <c r="I100" t="s">
        <v>69</v>
      </c>
      <c r="J100" t="s">
        <v>130</v>
      </c>
      <c r="K100" s="3">
        <v>9617</v>
      </c>
      <c r="L100" s="3">
        <v>2000</v>
      </c>
      <c r="M100" s="3">
        <v>500</v>
      </c>
      <c r="N100" t="s">
        <v>58</v>
      </c>
      <c r="O100" t="s">
        <v>26</v>
      </c>
      <c r="P100" t="s">
        <v>35</v>
      </c>
      <c r="Q100" t="s">
        <v>35</v>
      </c>
      <c r="R100" s="3">
        <v>63000</v>
      </c>
      <c r="S100" t="str">
        <f>TEXT(personal_finance_dashboard_data_200_rows[[#This Row],[Date]],"mmm")</f>
        <v>Apr</v>
      </c>
      <c r="T100">
        <f>MONTH(personal_finance_dashboard_data_200_rows[[#This Row],[Date]])</f>
        <v>4</v>
      </c>
      <c r="U100" t="str">
        <f>"Q"&amp;ROUNDUP(MONTH(personal_finance_dashboard_data_200_rows[[#This Row],[Date]])/3,0)</f>
        <v>Q2</v>
      </c>
      <c r="V100" t="s">
        <v>344</v>
      </c>
    </row>
    <row r="101" spans="1:22" x14ac:dyDescent="0.3">
      <c r="A101" t="s">
        <v>242</v>
      </c>
      <c r="B101" s="1">
        <v>46122</v>
      </c>
      <c r="C101">
        <v>2026</v>
      </c>
      <c r="D101" t="s">
        <v>19</v>
      </c>
      <c r="E101" t="s">
        <v>20</v>
      </c>
      <c r="F101" t="s">
        <v>66</v>
      </c>
      <c r="G101" t="s">
        <v>67</v>
      </c>
      <c r="H101" t="s">
        <v>100</v>
      </c>
      <c r="I101" t="s">
        <v>69</v>
      </c>
      <c r="J101" t="s">
        <v>67</v>
      </c>
      <c r="K101" s="3">
        <v>11486</v>
      </c>
      <c r="L101" s="3">
        <v>2000</v>
      </c>
      <c r="M101" s="3">
        <v>0</v>
      </c>
      <c r="N101" t="s">
        <v>64</v>
      </c>
      <c r="O101" t="s">
        <v>26</v>
      </c>
      <c r="P101" t="s">
        <v>35</v>
      </c>
      <c r="Q101" t="s">
        <v>35</v>
      </c>
      <c r="R101" s="3">
        <v>136723</v>
      </c>
      <c r="S101" t="str">
        <f>TEXT(personal_finance_dashboard_data_200_rows[[#This Row],[Date]],"mmm")</f>
        <v>Apr</v>
      </c>
      <c r="T101">
        <f>MONTH(personal_finance_dashboard_data_200_rows[[#This Row],[Date]])</f>
        <v>4</v>
      </c>
      <c r="U101" t="str">
        <f>"Q"&amp;ROUNDUP(MONTH(personal_finance_dashboard_data_200_rows[[#This Row],[Date]])/3,0)</f>
        <v>Q2</v>
      </c>
      <c r="V101" t="s">
        <v>343</v>
      </c>
    </row>
    <row r="102" spans="1:22" x14ac:dyDescent="0.3">
      <c r="A102" t="s">
        <v>251</v>
      </c>
      <c r="B102" s="1">
        <v>46122</v>
      </c>
      <c r="C102">
        <v>2026</v>
      </c>
      <c r="D102" t="s">
        <v>44</v>
      </c>
      <c r="E102" t="s">
        <v>20</v>
      </c>
      <c r="F102" t="s">
        <v>92</v>
      </c>
      <c r="G102" t="s">
        <v>177</v>
      </c>
      <c r="H102" t="s">
        <v>40</v>
      </c>
      <c r="I102" t="s">
        <v>178</v>
      </c>
      <c r="J102" t="s">
        <v>177</v>
      </c>
      <c r="K102" s="3">
        <v>17515</v>
      </c>
      <c r="L102" s="3">
        <v>5000</v>
      </c>
      <c r="M102" s="3">
        <v>1000</v>
      </c>
      <c r="N102" t="s">
        <v>58</v>
      </c>
      <c r="O102" t="s">
        <v>26</v>
      </c>
      <c r="P102" t="s">
        <v>27</v>
      </c>
      <c r="Q102" t="s">
        <v>27</v>
      </c>
      <c r="R102" s="3">
        <v>170530</v>
      </c>
      <c r="S102" t="str">
        <f>TEXT(personal_finance_dashboard_data_200_rows[[#This Row],[Date]],"mmm")</f>
        <v>Apr</v>
      </c>
      <c r="T102">
        <f>MONTH(personal_finance_dashboard_data_200_rows[[#This Row],[Date]])</f>
        <v>4</v>
      </c>
      <c r="U102" t="str">
        <f>"Q"&amp;ROUNDUP(MONTH(personal_finance_dashboard_data_200_rows[[#This Row],[Date]])/3,0)</f>
        <v>Q2</v>
      </c>
      <c r="V102" t="s">
        <v>342</v>
      </c>
    </row>
    <row r="103" spans="1:22" x14ac:dyDescent="0.3">
      <c r="A103" t="s">
        <v>255</v>
      </c>
      <c r="B103" s="1">
        <v>46122</v>
      </c>
      <c r="C103">
        <v>2026</v>
      </c>
      <c r="D103" t="s">
        <v>19</v>
      </c>
      <c r="E103" t="s">
        <v>29</v>
      </c>
      <c r="F103" t="s">
        <v>30</v>
      </c>
      <c r="G103" t="s">
        <v>31</v>
      </c>
      <c r="H103" t="s">
        <v>32</v>
      </c>
      <c r="I103" t="s">
        <v>33</v>
      </c>
      <c r="J103" t="s">
        <v>34</v>
      </c>
      <c r="K103" s="3">
        <v>55000</v>
      </c>
      <c r="L103" s="3">
        <v>0</v>
      </c>
      <c r="M103" s="3">
        <v>0</v>
      </c>
      <c r="N103" t="s">
        <v>48</v>
      </c>
      <c r="O103" t="s">
        <v>26</v>
      </c>
      <c r="P103" t="s">
        <v>35</v>
      </c>
      <c r="Q103" t="s">
        <v>35</v>
      </c>
      <c r="R103" s="3">
        <v>209789</v>
      </c>
      <c r="S103" t="str">
        <f>TEXT(personal_finance_dashboard_data_200_rows[[#This Row],[Date]],"mmm")</f>
        <v>Apr</v>
      </c>
      <c r="T103">
        <f>MONTH(personal_finance_dashboard_data_200_rows[[#This Row],[Date]])</f>
        <v>4</v>
      </c>
      <c r="U103" t="str">
        <f>"Q"&amp;ROUNDUP(MONTH(personal_finance_dashboard_data_200_rows[[#This Row],[Date]])/3,0)</f>
        <v>Q2</v>
      </c>
      <c r="V103" t="s">
        <v>342</v>
      </c>
    </row>
    <row r="104" spans="1:22" x14ac:dyDescent="0.3">
      <c r="A104" t="s">
        <v>246</v>
      </c>
      <c r="B104" s="1">
        <v>46123</v>
      </c>
      <c r="C104">
        <v>2026</v>
      </c>
      <c r="D104" t="s">
        <v>60</v>
      </c>
      <c r="E104" t="s">
        <v>20</v>
      </c>
      <c r="F104" t="s">
        <v>66</v>
      </c>
      <c r="G104" t="s">
        <v>130</v>
      </c>
      <c r="H104" t="s">
        <v>40</v>
      </c>
      <c r="I104" t="s">
        <v>131</v>
      </c>
      <c r="J104" t="s">
        <v>130</v>
      </c>
      <c r="K104" s="3">
        <v>1032</v>
      </c>
      <c r="L104" s="3">
        <v>2000</v>
      </c>
      <c r="M104" s="3">
        <v>0</v>
      </c>
      <c r="N104" t="s">
        <v>25</v>
      </c>
      <c r="O104" t="s">
        <v>26</v>
      </c>
      <c r="P104" t="s">
        <v>35</v>
      </c>
      <c r="Q104" t="s">
        <v>27</v>
      </c>
      <c r="R104" s="3">
        <v>210691</v>
      </c>
      <c r="S104" t="str">
        <f>TEXT(personal_finance_dashboard_data_200_rows[[#This Row],[Date]],"mmm")</f>
        <v>Apr</v>
      </c>
      <c r="T104">
        <f>MONTH(personal_finance_dashboard_data_200_rows[[#This Row],[Date]])</f>
        <v>4</v>
      </c>
      <c r="U104" t="str">
        <f>"Q"&amp;ROUNDUP(MONTH(personal_finance_dashboard_data_200_rows[[#This Row],[Date]])/3,0)</f>
        <v>Q2</v>
      </c>
      <c r="V104" t="s">
        <v>342</v>
      </c>
    </row>
    <row r="105" spans="1:22" x14ac:dyDescent="0.3">
      <c r="A105" t="s">
        <v>221</v>
      </c>
      <c r="B105" s="1">
        <v>46125</v>
      </c>
      <c r="C105">
        <v>2026</v>
      </c>
      <c r="D105" t="s">
        <v>19</v>
      </c>
      <c r="E105" t="s">
        <v>29</v>
      </c>
      <c r="F105" t="s">
        <v>122</v>
      </c>
      <c r="G105" t="s">
        <v>122</v>
      </c>
      <c r="H105" t="s">
        <v>100</v>
      </c>
      <c r="I105" t="s">
        <v>214</v>
      </c>
      <c r="J105" t="s">
        <v>124</v>
      </c>
      <c r="K105" s="3">
        <v>1200</v>
      </c>
      <c r="L105" s="3">
        <v>0</v>
      </c>
      <c r="M105" s="3">
        <v>0</v>
      </c>
      <c r="N105" t="s">
        <v>25</v>
      </c>
      <c r="O105" t="s">
        <v>26</v>
      </c>
      <c r="P105" t="s">
        <v>27</v>
      </c>
      <c r="Q105" t="s">
        <v>27</v>
      </c>
      <c r="R105" s="3">
        <v>129640</v>
      </c>
      <c r="S105" t="str">
        <f>TEXT(personal_finance_dashboard_data_200_rows[[#This Row],[Date]],"mmm")</f>
        <v>Apr</v>
      </c>
      <c r="T105">
        <f>MONTH(personal_finance_dashboard_data_200_rows[[#This Row],[Date]])</f>
        <v>4</v>
      </c>
      <c r="U105" t="str">
        <f>"Q"&amp;ROUNDUP(MONTH(personal_finance_dashboard_data_200_rows[[#This Row],[Date]])/3,0)</f>
        <v>Q2</v>
      </c>
      <c r="V105" t="s">
        <v>344</v>
      </c>
    </row>
    <row r="106" spans="1:22" x14ac:dyDescent="0.3">
      <c r="A106" t="s">
        <v>225</v>
      </c>
      <c r="B106" s="1">
        <v>46125</v>
      </c>
      <c r="C106">
        <v>2026</v>
      </c>
      <c r="D106" t="s">
        <v>44</v>
      </c>
      <c r="E106" t="s">
        <v>20</v>
      </c>
      <c r="F106" t="s">
        <v>66</v>
      </c>
      <c r="G106" t="s">
        <v>67</v>
      </c>
      <c r="H106" t="s">
        <v>52</v>
      </c>
      <c r="I106" t="s">
        <v>69</v>
      </c>
      <c r="J106" t="s">
        <v>67</v>
      </c>
      <c r="K106" s="3">
        <v>3002</v>
      </c>
      <c r="L106" s="3">
        <v>2000</v>
      </c>
      <c r="M106" s="3">
        <v>0</v>
      </c>
      <c r="N106" t="s">
        <v>42</v>
      </c>
      <c r="O106" t="s">
        <v>26</v>
      </c>
      <c r="P106" t="s">
        <v>35</v>
      </c>
      <c r="Q106" t="s">
        <v>27</v>
      </c>
      <c r="R106" s="3">
        <v>109823</v>
      </c>
      <c r="S106" t="str">
        <f>TEXT(personal_finance_dashboard_data_200_rows[[#This Row],[Date]],"mmm")</f>
        <v>Apr</v>
      </c>
      <c r="T106">
        <f>MONTH(personal_finance_dashboard_data_200_rows[[#This Row],[Date]])</f>
        <v>4</v>
      </c>
      <c r="U106" t="str">
        <f>"Q"&amp;ROUNDUP(MONTH(personal_finance_dashboard_data_200_rows[[#This Row],[Date]])/3,0)</f>
        <v>Q2</v>
      </c>
      <c r="V106" t="s">
        <v>343</v>
      </c>
    </row>
    <row r="107" spans="1:22" x14ac:dyDescent="0.3">
      <c r="A107" t="s">
        <v>256</v>
      </c>
      <c r="B107" s="1">
        <v>46125</v>
      </c>
      <c r="C107">
        <v>2026</v>
      </c>
      <c r="D107" t="s">
        <v>44</v>
      </c>
      <c r="E107" t="s">
        <v>20</v>
      </c>
      <c r="F107" t="s">
        <v>74</v>
      </c>
      <c r="G107" t="s">
        <v>81</v>
      </c>
      <c r="H107" t="s">
        <v>68</v>
      </c>
      <c r="I107" t="s">
        <v>147</v>
      </c>
      <c r="J107" t="s">
        <v>81</v>
      </c>
      <c r="K107" s="3">
        <v>6596</v>
      </c>
      <c r="L107" s="3">
        <v>10000</v>
      </c>
      <c r="M107" s="3">
        <v>1000</v>
      </c>
      <c r="N107" t="s">
        <v>42</v>
      </c>
      <c r="O107" t="s">
        <v>26</v>
      </c>
      <c r="P107" t="s">
        <v>35</v>
      </c>
      <c r="Q107" t="s">
        <v>27</v>
      </c>
      <c r="R107" s="3">
        <v>203193</v>
      </c>
      <c r="S107" t="str">
        <f>TEXT(personal_finance_dashboard_data_200_rows[[#This Row],[Date]],"mmm")</f>
        <v>Apr</v>
      </c>
      <c r="T107">
        <f>MONTH(personal_finance_dashboard_data_200_rows[[#This Row],[Date]])</f>
        <v>4</v>
      </c>
      <c r="U107" t="str">
        <f>"Q"&amp;ROUNDUP(MONTH(personal_finance_dashboard_data_200_rows[[#This Row],[Date]])/3,0)</f>
        <v>Q2</v>
      </c>
      <c r="V107" t="s">
        <v>344</v>
      </c>
    </row>
    <row r="108" spans="1:22" x14ac:dyDescent="0.3">
      <c r="A108" t="s">
        <v>128</v>
      </c>
      <c r="B108" s="1">
        <v>46127</v>
      </c>
      <c r="C108">
        <v>2026</v>
      </c>
      <c r="D108" t="s">
        <v>44</v>
      </c>
      <c r="E108" t="s">
        <v>29</v>
      </c>
      <c r="F108" t="s">
        <v>30</v>
      </c>
      <c r="G108" t="s">
        <v>31</v>
      </c>
      <c r="H108" t="s">
        <v>100</v>
      </c>
      <c r="I108" t="s">
        <v>33</v>
      </c>
      <c r="J108" t="s">
        <v>34</v>
      </c>
      <c r="K108" s="3">
        <v>50000</v>
      </c>
      <c r="L108" s="3">
        <v>0</v>
      </c>
      <c r="M108" s="3">
        <v>10000</v>
      </c>
      <c r="N108" t="s">
        <v>48</v>
      </c>
      <c r="O108" t="s">
        <v>26</v>
      </c>
      <c r="P108" t="s">
        <v>35</v>
      </c>
      <c r="Q108" t="s">
        <v>35</v>
      </c>
      <c r="R108" s="3">
        <v>201701</v>
      </c>
      <c r="S108" t="str">
        <f>TEXT(personal_finance_dashboard_data_200_rows[[#This Row],[Date]],"mmm")</f>
        <v>Apr</v>
      </c>
      <c r="T108">
        <f>MONTH(personal_finance_dashboard_data_200_rows[[#This Row],[Date]])</f>
        <v>4</v>
      </c>
      <c r="U108" t="str">
        <f>"Q"&amp;ROUNDUP(MONTH(personal_finance_dashboard_data_200_rows[[#This Row],[Date]])/3,0)</f>
        <v>Q2</v>
      </c>
      <c r="V108" t="s">
        <v>342</v>
      </c>
    </row>
    <row r="109" spans="1:22" x14ac:dyDescent="0.3">
      <c r="A109" t="s">
        <v>262</v>
      </c>
      <c r="B109" s="1">
        <v>46128</v>
      </c>
      <c r="C109">
        <v>2026</v>
      </c>
      <c r="D109" t="s">
        <v>19</v>
      </c>
      <c r="E109" t="s">
        <v>20</v>
      </c>
      <c r="F109" t="s">
        <v>74</v>
      </c>
      <c r="G109" t="s">
        <v>166</v>
      </c>
      <c r="H109" t="s">
        <v>23</v>
      </c>
      <c r="I109" t="s">
        <v>263</v>
      </c>
      <c r="J109" t="s">
        <v>166</v>
      </c>
      <c r="K109" s="3">
        <v>15764</v>
      </c>
      <c r="L109" s="3">
        <v>10000</v>
      </c>
      <c r="M109" s="3">
        <v>500</v>
      </c>
      <c r="N109" t="s">
        <v>58</v>
      </c>
      <c r="O109" t="s">
        <v>26</v>
      </c>
      <c r="P109" t="s">
        <v>35</v>
      </c>
      <c r="Q109" t="s">
        <v>27</v>
      </c>
      <c r="R109" s="3">
        <v>149611</v>
      </c>
      <c r="S109" t="str">
        <f>TEXT(personal_finance_dashboard_data_200_rows[[#This Row],[Date]],"mmm")</f>
        <v>Apr</v>
      </c>
      <c r="T109">
        <f>MONTH(personal_finance_dashboard_data_200_rows[[#This Row],[Date]])</f>
        <v>4</v>
      </c>
      <c r="U109" t="str">
        <f>"Q"&amp;ROUNDUP(MONTH(personal_finance_dashboard_data_200_rows[[#This Row],[Date]])/3,0)</f>
        <v>Q2</v>
      </c>
      <c r="V109" t="s">
        <v>345</v>
      </c>
    </row>
    <row r="110" spans="1:22" x14ac:dyDescent="0.3">
      <c r="A110" t="s">
        <v>176</v>
      </c>
      <c r="B110" s="1">
        <v>46129</v>
      </c>
      <c r="C110">
        <v>2026</v>
      </c>
      <c r="D110" t="s">
        <v>19</v>
      </c>
      <c r="E110" t="s">
        <v>20</v>
      </c>
      <c r="F110" t="s">
        <v>92</v>
      </c>
      <c r="G110" t="s">
        <v>177</v>
      </c>
      <c r="H110" t="s">
        <v>100</v>
      </c>
      <c r="I110" t="s">
        <v>178</v>
      </c>
      <c r="J110" t="s">
        <v>177</v>
      </c>
      <c r="K110" s="3">
        <v>2191</v>
      </c>
      <c r="L110" s="3">
        <v>5000</v>
      </c>
      <c r="M110" s="3">
        <v>2000</v>
      </c>
      <c r="N110" t="s">
        <v>58</v>
      </c>
      <c r="O110" t="s">
        <v>26</v>
      </c>
      <c r="P110" t="s">
        <v>27</v>
      </c>
      <c r="Q110" t="s">
        <v>27</v>
      </c>
      <c r="R110" s="3">
        <v>207842</v>
      </c>
      <c r="S110" t="str">
        <f>TEXT(personal_finance_dashboard_data_200_rows[[#This Row],[Date]],"mmm")</f>
        <v>Apr</v>
      </c>
      <c r="T110">
        <f>MONTH(personal_finance_dashboard_data_200_rows[[#This Row],[Date]])</f>
        <v>4</v>
      </c>
      <c r="U110" t="str">
        <f>"Q"&amp;ROUNDUP(MONTH(personal_finance_dashboard_data_200_rows[[#This Row],[Date]])/3,0)</f>
        <v>Q2</v>
      </c>
      <c r="V110" t="s">
        <v>344</v>
      </c>
    </row>
    <row r="111" spans="1:22" x14ac:dyDescent="0.3">
      <c r="A111" t="s">
        <v>182</v>
      </c>
      <c r="B111" s="1">
        <v>46130</v>
      </c>
      <c r="C111">
        <v>2026</v>
      </c>
      <c r="D111" t="s">
        <v>44</v>
      </c>
      <c r="E111" t="s">
        <v>20</v>
      </c>
      <c r="F111" t="s">
        <v>45</v>
      </c>
      <c r="G111" t="s">
        <v>46</v>
      </c>
      <c r="H111" t="s">
        <v>100</v>
      </c>
      <c r="I111" t="s">
        <v>47</v>
      </c>
      <c r="J111" t="s">
        <v>46</v>
      </c>
      <c r="K111" s="3">
        <v>22000</v>
      </c>
      <c r="L111" s="3">
        <v>20000</v>
      </c>
      <c r="M111" s="3">
        <v>1000</v>
      </c>
      <c r="N111" t="s">
        <v>48</v>
      </c>
      <c r="O111" t="s">
        <v>26</v>
      </c>
      <c r="P111" t="s">
        <v>35</v>
      </c>
      <c r="Q111" t="s">
        <v>27</v>
      </c>
      <c r="R111" s="3">
        <v>166625</v>
      </c>
      <c r="S111" t="str">
        <f>TEXT(personal_finance_dashboard_data_200_rows[[#This Row],[Date]],"mmm")</f>
        <v>Apr</v>
      </c>
      <c r="T111">
        <f>MONTH(personal_finance_dashboard_data_200_rows[[#This Row],[Date]])</f>
        <v>4</v>
      </c>
      <c r="U111" t="str">
        <f>"Q"&amp;ROUNDUP(MONTH(personal_finance_dashboard_data_200_rows[[#This Row],[Date]])/3,0)</f>
        <v>Q2</v>
      </c>
      <c r="V111" t="s">
        <v>343</v>
      </c>
    </row>
    <row r="112" spans="1:22" x14ac:dyDescent="0.3">
      <c r="A112" t="s">
        <v>200</v>
      </c>
      <c r="B112" s="1">
        <v>46130</v>
      </c>
      <c r="C112">
        <v>2026</v>
      </c>
      <c r="D112" t="s">
        <v>19</v>
      </c>
      <c r="E112" t="s">
        <v>20</v>
      </c>
      <c r="F112" t="s">
        <v>38</v>
      </c>
      <c r="G112" t="s">
        <v>39</v>
      </c>
      <c r="H112" t="s">
        <v>100</v>
      </c>
      <c r="I112" t="s">
        <v>201</v>
      </c>
      <c r="J112" t="s">
        <v>39</v>
      </c>
      <c r="K112" s="3">
        <v>12641</v>
      </c>
      <c r="L112" s="3">
        <v>8000</v>
      </c>
      <c r="M112" s="3">
        <v>1000</v>
      </c>
      <c r="N112" t="s">
        <v>97</v>
      </c>
      <c r="O112" t="s">
        <v>26</v>
      </c>
      <c r="P112" t="s">
        <v>27</v>
      </c>
      <c r="Q112" t="s">
        <v>35</v>
      </c>
      <c r="R112" s="3">
        <v>58962</v>
      </c>
      <c r="S112" t="str">
        <f>TEXT(personal_finance_dashboard_data_200_rows[[#This Row],[Date]],"mmm")</f>
        <v>Apr</v>
      </c>
      <c r="T112">
        <f>MONTH(personal_finance_dashboard_data_200_rows[[#This Row],[Date]])</f>
        <v>4</v>
      </c>
      <c r="U112" t="str">
        <f>"Q"&amp;ROUNDUP(MONTH(personal_finance_dashboard_data_200_rows[[#This Row],[Date]])/3,0)</f>
        <v>Q2</v>
      </c>
      <c r="V112" t="s">
        <v>342</v>
      </c>
    </row>
    <row r="113" spans="1:22" x14ac:dyDescent="0.3">
      <c r="A113" t="s">
        <v>104</v>
      </c>
      <c r="B113" s="1">
        <v>46131</v>
      </c>
      <c r="C113">
        <v>2026</v>
      </c>
      <c r="D113" t="s">
        <v>44</v>
      </c>
      <c r="E113" t="s">
        <v>29</v>
      </c>
      <c r="F113" t="s">
        <v>50</v>
      </c>
      <c r="G113" t="s">
        <v>51</v>
      </c>
      <c r="H113" t="s">
        <v>32</v>
      </c>
      <c r="I113" t="s">
        <v>53</v>
      </c>
      <c r="J113" t="s">
        <v>54</v>
      </c>
      <c r="K113" s="3">
        <v>12000</v>
      </c>
      <c r="L113" s="3">
        <v>0</v>
      </c>
      <c r="M113" s="3">
        <v>5000</v>
      </c>
      <c r="N113" t="s">
        <v>64</v>
      </c>
      <c r="O113" t="s">
        <v>26</v>
      </c>
      <c r="P113" t="s">
        <v>27</v>
      </c>
      <c r="Q113" t="s">
        <v>35</v>
      </c>
      <c r="R113" s="3">
        <v>77128</v>
      </c>
      <c r="S113" t="str">
        <f>TEXT(personal_finance_dashboard_data_200_rows[[#This Row],[Date]],"mmm")</f>
        <v>Apr</v>
      </c>
      <c r="T113">
        <f>MONTH(personal_finance_dashboard_data_200_rows[[#This Row],[Date]])</f>
        <v>4</v>
      </c>
      <c r="U113" t="str">
        <f>"Q"&amp;ROUNDUP(MONTH(personal_finance_dashboard_data_200_rows[[#This Row],[Date]])/3,0)</f>
        <v>Q2</v>
      </c>
      <c r="V113" t="s">
        <v>344</v>
      </c>
    </row>
    <row r="114" spans="1:22" x14ac:dyDescent="0.3">
      <c r="A114" t="s">
        <v>212</v>
      </c>
      <c r="B114" s="1">
        <v>46133</v>
      </c>
      <c r="C114">
        <v>2026</v>
      </c>
      <c r="D114" t="s">
        <v>44</v>
      </c>
      <c r="E114" t="s">
        <v>20</v>
      </c>
      <c r="F114" t="s">
        <v>110</v>
      </c>
      <c r="G114" t="s">
        <v>111</v>
      </c>
      <c r="H114" t="s">
        <v>32</v>
      </c>
      <c r="I114" t="s">
        <v>154</v>
      </c>
      <c r="J114" t="s">
        <v>111</v>
      </c>
      <c r="K114" s="3">
        <v>2699</v>
      </c>
      <c r="L114" s="3">
        <v>5000</v>
      </c>
      <c r="M114" s="3">
        <v>0</v>
      </c>
      <c r="N114" t="s">
        <v>42</v>
      </c>
      <c r="O114" t="s">
        <v>26</v>
      </c>
      <c r="P114" t="s">
        <v>27</v>
      </c>
      <c r="Q114" t="s">
        <v>27</v>
      </c>
      <c r="R114" s="3">
        <v>-223</v>
      </c>
      <c r="S114" t="str">
        <f>TEXT(personal_finance_dashboard_data_200_rows[[#This Row],[Date]],"mmm")</f>
        <v>Apr</v>
      </c>
      <c r="T114">
        <f>MONTH(personal_finance_dashboard_data_200_rows[[#This Row],[Date]])</f>
        <v>4</v>
      </c>
      <c r="U114" t="str">
        <f>"Q"&amp;ROUNDUP(MONTH(personal_finance_dashboard_data_200_rows[[#This Row],[Date]])/3,0)</f>
        <v>Q2</v>
      </c>
      <c r="V114" t="s">
        <v>343</v>
      </c>
    </row>
    <row r="115" spans="1:22" x14ac:dyDescent="0.3">
      <c r="A115" t="s">
        <v>126</v>
      </c>
      <c r="B115" s="1">
        <v>46134</v>
      </c>
      <c r="C115">
        <v>2026</v>
      </c>
      <c r="D115" t="s">
        <v>19</v>
      </c>
      <c r="E115" t="s">
        <v>20</v>
      </c>
      <c r="F115" t="s">
        <v>66</v>
      </c>
      <c r="G115" t="s">
        <v>67</v>
      </c>
      <c r="H115" t="s">
        <v>52</v>
      </c>
      <c r="I115" t="s">
        <v>127</v>
      </c>
      <c r="J115" t="s">
        <v>67</v>
      </c>
      <c r="K115" s="3">
        <v>10340</v>
      </c>
      <c r="L115" s="3">
        <v>2000</v>
      </c>
      <c r="M115" s="3">
        <v>500</v>
      </c>
      <c r="N115" t="s">
        <v>42</v>
      </c>
      <c r="O115" t="s">
        <v>26</v>
      </c>
      <c r="P115" t="s">
        <v>35</v>
      </c>
      <c r="Q115" t="s">
        <v>35</v>
      </c>
      <c r="R115" s="3">
        <v>151701</v>
      </c>
      <c r="S115" t="str">
        <f>TEXT(personal_finance_dashboard_data_200_rows[[#This Row],[Date]],"mmm")</f>
        <v>Apr</v>
      </c>
      <c r="T115">
        <f>MONTH(personal_finance_dashboard_data_200_rows[[#This Row],[Date]])</f>
        <v>4</v>
      </c>
      <c r="U115" t="str">
        <f>"Q"&amp;ROUNDUP(MONTH(personal_finance_dashboard_data_200_rows[[#This Row],[Date]])/3,0)</f>
        <v>Q2</v>
      </c>
      <c r="V115" t="s">
        <v>344</v>
      </c>
    </row>
    <row r="116" spans="1:22" x14ac:dyDescent="0.3">
      <c r="A116" t="s">
        <v>222</v>
      </c>
      <c r="B116" s="1">
        <v>46134</v>
      </c>
      <c r="C116">
        <v>2026</v>
      </c>
      <c r="D116" t="s">
        <v>37</v>
      </c>
      <c r="E116" t="s">
        <v>20</v>
      </c>
      <c r="F116" t="s">
        <v>21</v>
      </c>
      <c r="G116" t="s">
        <v>56</v>
      </c>
      <c r="H116" t="s">
        <v>68</v>
      </c>
      <c r="I116" t="s">
        <v>139</v>
      </c>
      <c r="J116" t="s">
        <v>56</v>
      </c>
      <c r="K116" s="3">
        <v>2861</v>
      </c>
      <c r="L116" s="3">
        <v>4000</v>
      </c>
      <c r="M116" s="3">
        <v>0</v>
      </c>
      <c r="N116" t="s">
        <v>58</v>
      </c>
      <c r="O116" t="s">
        <v>26</v>
      </c>
      <c r="P116" t="s">
        <v>35</v>
      </c>
      <c r="Q116" t="s">
        <v>27</v>
      </c>
      <c r="R116" s="3">
        <v>126779</v>
      </c>
      <c r="S116" t="str">
        <f>TEXT(personal_finance_dashboard_data_200_rows[[#This Row],[Date]],"mmm")</f>
        <v>Apr</v>
      </c>
      <c r="T116">
        <f>MONTH(personal_finance_dashboard_data_200_rows[[#This Row],[Date]])</f>
        <v>4</v>
      </c>
      <c r="U116" t="str">
        <f>"Q"&amp;ROUNDUP(MONTH(personal_finance_dashboard_data_200_rows[[#This Row],[Date]])/3,0)</f>
        <v>Q2</v>
      </c>
      <c r="V116" t="s">
        <v>342</v>
      </c>
    </row>
    <row r="117" spans="1:22" x14ac:dyDescent="0.3">
      <c r="A117" t="s">
        <v>125</v>
      </c>
      <c r="B117" s="1">
        <v>46135</v>
      </c>
      <c r="C117">
        <v>2026</v>
      </c>
      <c r="D117" t="s">
        <v>19</v>
      </c>
      <c r="E117" t="s">
        <v>20</v>
      </c>
      <c r="F117" t="s">
        <v>21</v>
      </c>
      <c r="G117" t="s">
        <v>56</v>
      </c>
      <c r="H117" t="s">
        <v>23</v>
      </c>
      <c r="I117" t="s">
        <v>57</v>
      </c>
      <c r="J117" t="s">
        <v>56</v>
      </c>
      <c r="K117" s="3">
        <v>1954</v>
      </c>
      <c r="L117" s="3">
        <v>4000</v>
      </c>
      <c r="M117" s="3">
        <v>0</v>
      </c>
      <c r="N117" t="s">
        <v>97</v>
      </c>
      <c r="O117" t="s">
        <v>26</v>
      </c>
      <c r="P117" t="s">
        <v>27</v>
      </c>
      <c r="Q117" t="s">
        <v>27</v>
      </c>
      <c r="R117" s="3">
        <v>162041</v>
      </c>
      <c r="S117" t="str">
        <f>TEXT(personal_finance_dashboard_data_200_rows[[#This Row],[Date]],"mmm")</f>
        <v>Apr</v>
      </c>
      <c r="T117">
        <f>MONTH(personal_finance_dashboard_data_200_rows[[#This Row],[Date]])</f>
        <v>4</v>
      </c>
      <c r="U117" t="str">
        <f>"Q"&amp;ROUNDUP(MONTH(personal_finance_dashboard_data_200_rows[[#This Row],[Date]])/3,0)</f>
        <v>Q2</v>
      </c>
      <c r="V117" t="s">
        <v>342</v>
      </c>
    </row>
    <row r="118" spans="1:22" x14ac:dyDescent="0.3">
      <c r="A118" t="s">
        <v>152</v>
      </c>
      <c r="B118" s="1">
        <v>46135</v>
      </c>
      <c r="C118">
        <v>2026</v>
      </c>
      <c r="D118" t="s">
        <v>44</v>
      </c>
      <c r="E118" t="s">
        <v>20</v>
      </c>
      <c r="F118" t="s">
        <v>74</v>
      </c>
      <c r="G118" t="s">
        <v>88</v>
      </c>
      <c r="H118" t="s">
        <v>100</v>
      </c>
      <c r="I118" t="s">
        <v>89</v>
      </c>
      <c r="J118" t="s">
        <v>88</v>
      </c>
      <c r="K118" s="3">
        <v>15271</v>
      </c>
      <c r="L118" s="3">
        <v>10000</v>
      </c>
      <c r="M118" s="3">
        <v>2000</v>
      </c>
      <c r="N118" t="s">
        <v>64</v>
      </c>
      <c r="O118" t="s">
        <v>26</v>
      </c>
      <c r="P118" t="s">
        <v>27</v>
      </c>
      <c r="Q118" t="s">
        <v>27</v>
      </c>
      <c r="R118" s="3">
        <v>86240</v>
      </c>
      <c r="S118" t="str">
        <f>TEXT(personal_finance_dashboard_data_200_rows[[#This Row],[Date]],"mmm")</f>
        <v>Apr</v>
      </c>
      <c r="T118">
        <f>MONTH(personal_finance_dashboard_data_200_rows[[#This Row],[Date]])</f>
        <v>4</v>
      </c>
      <c r="U118" t="str">
        <f>"Q"&amp;ROUNDUP(MONTH(personal_finance_dashboard_data_200_rows[[#This Row],[Date]])/3,0)</f>
        <v>Q2</v>
      </c>
      <c r="V118" t="s">
        <v>343</v>
      </c>
    </row>
    <row r="119" spans="1:22" x14ac:dyDescent="0.3">
      <c r="A119" t="s">
        <v>241</v>
      </c>
      <c r="B119" s="1">
        <v>46135</v>
      </c>
      <c r="C119">
        <v>2026</v>
      </c>
      <c r="D119" t="s">
        <v>19</v>
      </c>
      <c r="E119" t="s">
        <v>20</v>
      </c>
      <c r="F119" t="s">
        <v>66</v>
      </c>
      <c r="G119" t="s">
        <v>67</v>
      </c>
      <c r="H119" t="s">
        <v>32</v>
      </c>
      <c r="I119" t="s">
        <v>127</v>
      </c>
      <c r="J119" t="s">
        <v>67</v>
      </c>
      <c r="K119" s="3">
        <v>14095</v>
      </c>
      <c r="L119" s="3">
        <v>2000</v>
      </c>
      <c r="M119" s="3">
        <v>1000</v>
      </c>
      <c r="N119" t="s">
        <v>58</v>
      </c>
      <c r="O119" t="s">
        <v>26</v>
      </c>
      <c r="P119" t="s">
        <v>35</v>
      </c>
      <c r="Q119" t="s">
        <v>35</v>
      </c>
      <c r="R119" s="3">
        <v>148209</v>
      </c>
      <c r="S119" t="str">
        <f>TEXT(personal_finance_dashboard_data_200_rows[[#This Row],[Date]],"mmm")</f>
        <v>Apr</v>
      </c>
      <c r="T119">
        <f>MONTH(personal_finance_dashboard_data_200_rows[[#This Row],[Date]])</f>
        <v>4</v>
      </c>
      <c r="U119" t="str">
        <f>"Q"&amp;ROUNDUP(MONTH(personal_finance_dashboard_data_200_rows[[#This Row],[Date]])/3,0)</f>
        <v>Q2</v>
      </c>
      <c r="V119" t="s">
        <v>342</v>
      </c>
    </row>
    <row r="120" spans="1:22" x14ac:dyDescent="0.3">
      <c r="A120" t="s">
        <v>87</v>
      </c>
      <c r="B120" s="1">
        <v>46136</v>
      </c>
      <c r="C120">
        <v>2026</v>
      </c>
      <c r="D120" t="s">
        <v>60</v>
      </c>
      <c r="E120" t="s">
        <v>20</v>
      </c>
      <c r="F120" t="s">
        <v>74</v>
      </c>
      <c r="G120" t="s">
        <v>88</v>
      </c>
      <c r="H120" t="s">
        <v>52</v>
      </c>
      <c r="I120" t="s">
        <v>89</v>
      </c>
      <c r="J120" t="s">
        <v>88</v>
      </c>
      <c r="K120" s="3">
        <v>1189</v>
      </c>
      <c r="L120" s="3">
        <v>10000</v>
      </c>
      <c r="M120" s="3">
        <v>0</v>
      </c>
      <c r="N120" t="s">
        <v>25</v>
      </c>
      <c r="O120" t="s">
        <v>26</v>
      </c>
      <c r="P120" t="s">
        <v>35</v>
      </c>
      <c r="Q120" t="s">
        <v>27</v>
      </c>
      <c r="R120" s="3">
        <v>-52162</v>
      </c>
      <c r="S120" t="str">
        <f>TEXT(personal_finance_dashboard_data_200_rows[[#This Row],[Date]],"mmm")</f>
        <v>Apr</v>
      </c>
      <c r="T120">
        <f>MONTH(personal_finance_dashboard_data_200_rows[[#This Row],[Date]])</f>
        <v>4</v>
      </c>
      <c r="U120" t="str">
        <f>"Q"&amp;ROUNDUP(MONTH(personal_finance_dashboard_data_200_rows[[#This Row],[Date]])/3,0)</f>
        <v>Q2</v>
      </c>
      <c r="V120" t="s">
        <v>344</v>
      </c>
    </row>
    <row r="121" spans="1:22" x14ac:dyDescent="0.3">
      <c r="A121" t="s">
        <v>179</v>
      </c>
      <c r="B121" s="1">
        <v>46136</v>
      </c>
      <c r="C121">
        <v>2026</v>
      </c>
      <c r="D121" t="s">
        <v>60</v>
      </c>
      <c r="E121" t="s">
        <v>29</v>
      </c>
      <c r="F121" t="s">
        <v>50</v>
      </c>
      <c r="G121" t="s">
        <v>51</v>
      </c>
      <c r="H121" t="s">
        <v>100</v>
      </c>
      <c r="I121" t="s">
        <v>53</v>
      </c>
      <c r="J121" t="s">
        <v>54</v>
      </c>
      <c r="K121" s="3">
        <v>8000</v>
      </c>
      <c r="L121" s="3">
        <v>0</v>
      </c>
      <c r="M121" s="3">
        <v>0</v>
      </c>
      <c r="N121" t="s">
        <v>25</v>
      </c>
      <c r="O121" t="s">
        <v>26</v>
      </c>
      <c r="P121" t="s">
        <v>35</v>
      </c>
      <c r="Q121" t="s">
        <v>27</v>
      </c>
      <c r="R121" s="3">
        <v>215842</v>
      </c>
      <c r="S121" t="str">
        <f>TEXT(personal_finance_dashboard_data_200_rows[[#This Row],[Date]],"mmm")</f>
        <v>Apr</v>
      </c>
      <c r="T121">
        <f>MONTH(personal_finance_dashboard_data_200_rows[[#This Row],[Date]])</f>
        <v>4</v>
      </c>
      <c r="U121" t="str">
        <f>"Q"&amp;ROUNDUP(MONTH(personal_finance_dashboard_data_200_rows[[#This Row],[Date]])/3,0)</f>
        <v>Q2</v>
      </c>
      <c r="V121" t="s">
        <v>343</v>
      </c>
    </row>
    <row r="122" spans="1:22" x14ac:dyDescent="0.3">
      <c r="A122" t="s">
        <v>185</v>
      </c>
      <c r="B122" s="1">
        <v>46136</v>
      </c>
      <c r="C122">
        <v>2026</v>
      </c>
      <c r="D122" t="s">
        <v>19</v>
      </c>
      <c r="E122" t="s">
        <v>20</v>
      </c>
      <c r="F122" t="s">
        <v>45</v>
      </c>
      <c r="G122" t="s">
        <v>46</v>
      </c>
      <c r="H122" t="s">
        <v>32</v>
      </c>
      <c r="I122" t="s">
        <v>47</v>
      </c>
      <c r="J122" t="s">
        <v>46</v>
      </c>
      <c r="K122" s="3">
        <v>18000</v>
      </c>
      <c r="L122" s="3">
        <v>20000</v>
      </c>
      <c r="M122" s="3">
        <v>1000</v>
      </c>
      <c r="N122" t="s">
        <v>48</v>
      </c>
      <c r="O122" t="s">
        <v>26</v>
      </c>
      <c r="P122" t="s">
        <v>35</v>
      </c>
      <c r="Q122" t="s">
        <v>27</v>
      </c>
      <c r="R122" s="3">
        <v>133863</v>
      </c>
      <c r="S122" t="str">
        <f>TEXT(personal_finance_dashboard_data_200_rows[[#This Row],[Date]],"mmm")</f>
        <v>Apr</v>
      </c>
      <c r="T122">
        <f>MONTH(personal_finance_dashboard_data_200_rows[[#This Row],[Date]])</f>
        <v>4</v>
      </c>
      <c r="U122" t="str">
        <f>"Q"&amp;ROUNDUP(MONTH(personal_finance_dashboard_data_200_rows[[#This Row],[Date]])/3,0)</f>
        <v>Q2</v>
      </c>
      <c r="V122" t="s">
        <v>344</v>
      </c>
    </row>
    <row r="123" spans="1:22" x14ac:dyDescent="0.3">
      <c r="A123" t="s">
        <v>231</v>
      </c>
      <c r="B123" s="1">
        <v>46136</v>
      </c>
      <c r="C123">
        <v>2026</v>
      </c>
      <c r="D123" t="s">
        <v>60</v>
      </c>
      <c r="E123" t="s">
        <v>20</v>
      </c>
      <c r="F123" t="s">
        <v>110</v>
      </c>
      <c r="G123" t="s">
        <v>111</v>
      </c>
      <c r="H123" t="s">
        <v>40</v>
      </c>
      <c r="I123" t="s">
        <v>154</v>
      </c>
      <c r="J123" t="s">
        <v>111</v>
      </c>
      <c r="K123" s="3">
        <v>12717</v>
      </c>
      <c r="L123" s="3">
        <v>5000</v>
      </c>
      <c r="M123" s="3">
        <v>1000</v>
      </c>
      <c r="N123" t="s">
        <v>48</v>
      </c>
      <c r="O123" t="s">
        <v>26</v>
      </c>
      <c r="P123" t="s">
        <v>27</v>
      </c>
      <c r="Q123" t="s">
        <v>27</v>
      </c>
      <c r="R123" s="3">
        <v>170327</v>
      </c>
      <c r="S123" t="str">
        <f>TEXT(personal_finance_dashboard_data_200_rows[[#This Row],[Date]],"mmm")</f>
        <v>Apr</v>
      </c>
      <c r="T123">
        <f>MONTH(personal_finance_dashboard_data_200_rows[[#This Row],[Date]])</f>
        <v>4</v>
      </c>
      <c r="U123" t="str">
        <f>"Q"&amp;ROUNDUP(MONTH(personal_finance_dashboard_data_200_rows[[#This Row],[Date]])/3,0)</f>
        <v>Q2</v>
      </c>
      <c r="V123" t="s">
        <v>343</v>
      </c>
    </row>
    <row r="124" spans="1:22" x14ac:dyDescent="0.3">
      <c r="A124" t="s">
        <v>306</v>
      </c>
      <c r="B124" s="1">
        <v>46136</v>
      </c>
      <c r="C124">
        <v>2026</v>
      </c>
      <c r="D124" t="s">
        <v>37</v>
      </c>
      <c r="E124" t="s">
        <v>29</v>
      </c>
      <c r="F124" t="s">
        <v>107</v>
      </c>
      <c r="G124" t="s">
        <v>107</v>
      </c>
      <c r="H124" t="s">
        <v>100</v>
      </c>
      <c r="I124" t="s">
        <v>33</v>
      </c>
      <c r="J124" t="s">
        <v>108</v>
      </c>
      <c r="K124" s="3">
        <v>5000</v>
      </c>
      <c r="L124" s="3">
        <v>0</v>
      </c>
      <c r="M124" s="3">
        <v>5000</v>
      </c>
      <c r="N124" t="s">
        <v>48</v>
      </c>
      <c r="O124" t="s">
        <v>26</v>
      </c>
      <c r="P124" t="s">
        <v>27</v>
      </c>
      <c r="Q124" t="s">
        <v>27</v>
      </c>
      <c r="R124" s="3">
        <v>78132</v>
      </c>
      <c r="S124" t="str">
        <f>TEXT(personal_finance_dashboard_data_200_rows[[#This Row],[Date]],"mmm")</f>
        <v>Apr</v>
      </c>
      <c r="T124">
        <f>MONTH(personal_finance_dashboard_data_200_rows[[#This Row],[Date]])</f>
        <v>4</v>
      </c>
      <c r="U124" t="str">
        <f>"Q"&amp;ROUNDUP(MONTH(personal_finance_dashboard_data_200_rows[[#This Row],[Date]])/3,0)</f>
        <v>Q2</v>
      </c>
      <c r="V124" t="s">
        <v>342</v>
      </c>
    </row>
    <row r="125" spans="1:22" x14ac:dyDescent="0.3">
      <c r="A125" t="s">
        <v>223</v>
      </c>
      <c r="B125" s="1">
        <v>46141</v>
      </c>
      <c r="C125">
        <v>2026</v>
      </c>
      <c r="D125" t="s">
        <v>19</v>
      </c>
      <c r="E125" t="s">
        <v>20</v>
      </c>
      <c r="F125" t="s">
        <v>84</v>
      </c>
      <c r="G125" t="s">
        <v>85</v>
      </c>
      <c r="H125" t="s">
        <v>32</v>
      </c>
      <c r="I125" t="s">
        <v>86</v>
      </c>
      <c r="J125" t="s">
        <v>85</v>
      </c>
      <c r="K125" s="3">
        <v>9986</v>
      </c>
      <c r="L125" s="3">
        <v>3000</v>
      </c>
      <c r="M125" s="3">
        <v>1000</v>
      </c>
      <c r="N125" t="s">
        <v>64</v>
      </c>
      <c r="O125" t="s">
        <v>26</v>
      </c>
      <c r="P125" t="s">
        <v>35</v>
      </c>
      <c r="Q125" t="s">
        <v>27</v>
      </c>
      <c r="R125" s="3">
        <v>116793</v>
      </c>
      <c r="S125" t="str">
        <f>TEXT(personal_finance_dashboard_data_200_rows[[#This Row],[Date]],"mmm")</f>
        <v>Apr</v>
      </c>
      <c r="T125">
        <f>MONTH(personal_finance_dashboard_data_200_rows[[#This Row],[Date]])</f>
        <v>4</v>
      </c>
      <c r="U125" t="str">
        <f>"Q"&amp;ROUNDUP(MONTH(personal_finance_dashboard_data_200_rows[[#This Row],[Date]])/3,0)</f>
        <v>Q2</v>
      </c>
      <c r="V125" t="s">
        <v>342</v>
      </c>
    </row>
    <row r="126" spans="1:22" x14ac:dyDescent="0.3">
      <c r="A126" t="s">
        <v>59</v>
      </c>
      <c r="B126" s="1">
        <v>46142</v>
      </c>
      <c r="C126">
        <v>2026</v>
      </c>
      <c r="D126" t="s">
        <v>60</v>
      </c>
      <c r="E126" t="s">
        <v>20</v>
      </c>
      <c r="F126" t="s">
        <v>61</v>
      </c>
      <c r="G126" t="s">
        <v>62</v>
      </c>
      <c r="H126" t="s">
        <v>32</v>
      </c>
      <c r="I126" t="s">
        <v>63</v>
      </c>
      <c r="J126" t="s">
        <v>62</v>
      </c>
      <c r="K126" s="3">
        <v>11126</v>
      </c>
      <c r="L126" s="3">
        <v>3000</v>
      </c>
      <c r="M126" s="3">
        <v>0</v>
      </c>
      <c r="N126" t="s">
        <v>64</v>
      </c>
      <c r="O126" t="s">
        <v>26</v>
      </c>
      <c r="P126" t="s">
        <v>27</v>
      </c>
      <c r="Q126" t="s">
        <v>27</v>
      </c>
      <c r="R126" s="3">
        <v>31408</v>
      </c>
      <c r="S126" t="str">
        <f>TEXT(personal_finance_dashboard_data_200_rows[[#This Row],[Date]],"mmm")</f>
        <v>Apr</v>
      </c>
      <c r="T126">
        <f>MONTH(personal_finance_dashboard_data_200_rows[[#This Row],[Date]])</f>
        <v>4</v>
      </c>
      <c r="U126" t="str">
        <f>"Q"&amp;ROUNDUP(MONTH(personal_finance_dashboard_data_200_rows[[#This Row],[Date]])/3,0)</f>
        <v>Q2</v>
      </c>
      <c r="V126" t="s">
        <v>343</v>
      </c>
    </row>
    <row r="127" spans="1:22" x14ac:dyDescent="0.3">
      <c r="A127" t="s">
        <v>261</v>
      </c>
      <c r="B127" s="1">
        <v>46143</v>
      </c>
      <c r="C127">
        <v>2026</v>
      </c>
      <c r="D127" t="s">
        <v>37</v>
      </c>
      <c r="E127" t="s">
        <v>20</v>
      </c>
      <c r="F127" t="s">
        <v>74</v>
      </c>
      <c r="G127" t="s">
        <v>88</v>
      </c>
      <c r="H127" t="s">
        <v>23</v>
      </c>
      <c r="I127" t="s">
        <v>89</v>
      </c>
      <c r="J127" t="s">
        <v>88</v>
      </c>
      <c r="K127" s="3">
        <v>13546</v>
      </c>
      <c r="L127" s="3">
        <v>10000</v>
      </c>
      <c r="M127" s="3">
        <v>1000</v>
      </c>
      <c r="N127" t="s">
        <v>48</v>
      </c>
      <c r="O127" t="s">
        <v>26</v>
      </c>
      <c r="P127" t="s">
        <v>35</v>
      </c>
      <c r="Q127" t="s">
        <v>27</v>
      </c>
      <c r="R127" s="3">
        <v>165375</v>
      </c>
      <c r="S127" t="str">
        <f>TEXT(personal_finance_dashboard_data_200_rows[[#This Row],[Date]],"mmm")</f>
        <v>May</v>
      </c>
      <c r="T127">
        <f>MONTH(personal_finance_dashboard_data_200_rows[[#This Row],[Date]])</f>
        <v>5</v>
      </c>
      <c r="U127" t="str">
        <f>"Q"&amp;ROUNDUP(MONTH(personal_finance_dashboard_data_200_rows[[#This Row],[Date]])/3,0)</f>
        <v>Q2</v>
      </c>
      <c r="V127" t="s">
        <v>345</v>
      </c>
    </row>
    <row r="128" spans="1:22" x14ac:dyDescent="0.3">
      <c r="A128" t="s">
        <v>181</v>
      </c>
      <c r="B128" s="1">
        <v>46144</v>
      </c>
      <c r="C128">
        <v>2026</v>
      </c>
      <c r="D128" t="s">
        <v>37</v>
      </c>
      <c r="E128" t="s">
        <v>20</v>
      </c>
      <c r="F128" t="s">
        <v>84</v>
      </c>
      <c r="G128" t="s">
        <v>85</v>
      </c>
      <c r="H128" t="s">
        <v>23</v>
      </c>
      <c r="I128" t="s">
        <v>86</v>
      </c>
      <c r="J128" t="s">
        <v>85</v>
      </c>
      <c r="K128" s="3">
        <v>17154</v>
      </c>
      <c r="L128" s="3">
        <v>3000</v>
      </c>
      <c r="M128" s="3">
        <v>0</v>
      </c>
      <c r="N128" t="s">
        <v>97</v>
      </c>
      <c r="O128" t="s">
        <v>26</v>
      </c>
      <c r="P128" t="s">
        <v>35</v>
      </c>
      <c r="Q128" t="s">
        <v>27</v>
      </c>
      <c r="R128" s="3">
        <v>188625</v>
      </c>
      <c r="S128" t="str">
        <f>TEXT(personal_finance_dashboard_data_200_rows[[#This Row],[Date]],"mmm")</f>
        <v>May</v>
      </c>
      <c r="T128">
        <f>MONTH(personal_finance_dashboard_data_200_rows[[#This Row],[Date]])</f>
        <v>5</v>
      </c>
      <c r="U128" t="str">
        <f>"Q"&amp;ROUNDUP(MONTH(personal_finance_dashboard_data_200_rows[[#This Row],[Date]])/3,0)</f>
        <v>Q2</v>
      </c>
      <c r="V128" t="s">
        <v>345</v>
      </c>
    </row>
    <row r="129" spans="1:22" x14ac:dyDescent="0.3">
      <c r="A129" t="s">
        <v>243</v>
      </c>
      <c r="B129" s="1">
        <v>46144</v>
      </c>
      <c r="C129">
        <v>2026</v>
      </c>
      <c r="D129" t="s">
        <v>37</v>
      </c>
      <c r="E129" t="s">
        <v>20</v>
      </c>
      <c r="F129" t="s">
        <v>45</v>
      </c>
      <c r="G129" t="s">
        <v>46</v>
      </c>
      <c r="H129" t="s">
        <v>100</v>
      </c>
      <c r="I129" t="s">
        <v>47</v>
      </c>
      <c r="J129" t="s">
        <v>46</v>
      </c>
      <c r="K129" s="3">
        <v>20000</v>
      </c>
      <c r="L129" s="3">
        <v>20000</v>
      </c>
      <c r="M129" s="3">
        <v>0</v>
      </c>
      <c r="N129" t="s">
        <v>42</v>
      </c>
      <c r="O129" t="s">
        <v>26</v>
      </c>
      <c r="P129" t="s">
        <v>35</v>
      </c>
      <c r="Q129" t="s">
        <v>27</v>
      </c>
      <c r="R129" s="3">
        <v>116723</v>
      </c>
      <c r="S129" t="str">
        <f>TEXT(personal_finance_dashboard_data_200_rows[[#This Row],[Date]],"mmm")</f>
        <v>May</v>
      </c>
      <c r="T129">
        <f>MONTH(personal_finance_dashboard_data_200_rows[[#This Row],[Date]])</f>
        <v>5</v>
      </c>
      <c r="U129" t="str">
        <f>"Q"&amp;ROUNDUP(MONTH(personal_finance_dashboard_data_200_rows[[#This Row],[Date]])/3,0)</f>
        <v>Q2</v>
      </c>
      <c r="V129" t="s">
        <v>342</v>
      </c>
    </row>
    <row r="130" spans="1:22" x14ac:dyDescent="0.3">
      <c r="A130" t="s">
        <v>159</v>
      </c>
      <c r="B130" s="1">
        <v>46145</v>
      </c>
      <c r="C130">
        <v>2026</v>
      </c>
      <c r="D130" t="s">
        <v>44</v>
      </c>
      <c r="E130" t="s">
        <v>20</v>
      </c>
      <c r="F130" t="s">
        <v>61</v>
      </c>
      <c r="G130" t="s">
        <v>114</v>
      </c>
      <c r="H130" t="s">
        <v>23</v>
      </c>
      <c r="I130" t="s">
        <v>137</v>
      </c>
      <c r="J130" t="s">
        <v>114</v>
      </c>
      <c r="K130" s="3">
        <v>12028</v>
      </c>
      <c r="L130" s="3">
        <v>3000</v>
      </c>
      <c r="M130" s="3">
        <v>500</v>
      </c>
      <c r="N130" t="s">
        <v>97</v>
      </c>
      <c r="O130" t="s">
        <v>26</v>
      </c>
      <c r="P130" t="s">
        <v>27</v>
      </c>
      <c r="Q130" t="s">
        <v>27</v>
      </c>
      <c r="R130" s="3">
        <v>45184</v>
      </c>
      <c r="S130" t="str">
        <f>TEXT(personal_finance_dashboard_data_200_rows[[#This Row],[Date]],"mmm")</f>
        <v>May</v>
      </c>
      <c r="T130">
        <f>MONTH(personal_finance_dashboard_data_200_rows[[#This Row],[Date]])</f>
        <v>5</v>
      </c>
      <c r="U130" t="str">
        <f>"Q"&amp;ROUNDUP(MONTH(personal_finance_dashboard_data_200_rows[[#This Row],[Date]])/3,0)</f>
        <v>Q2</v>
      </c>
      <c r="V130" t="s">
        <v>343</v>
      </c>
    </row>
    <row r="131" spans="1:22" x14ac:dyDescent="0.3">
      <c r="A131" t="s">
        <v>278</v>
      </c>
      <c r="B131" s="1">
        <v>46145</v>
      </c>
      <c r="C131">
        <v>2026</v>
      </c>
      <c r="D131" t="s">
        <v>19</v>
      </c>
      <c r="E131" t="s">
        <v>20</v>
      </c>
      <c r="F131" t="s">
        <v>74</v>
      </c>
      <c r="G131" t="s">
        <v>166</v>
      </c>
      <c r="H131" t="s">
        <v>23</v>
      </c>
      <c r="I131" t="s">
        <v>167</v>
      </c>
      <c r="J131" t="s">
        <v>166</v>
      </c>
      <c r="K131" s="3">
        <v>10581</v>
      </c>
      <c r="L131" s="3">
        <v>10000</v>
      </c>
      <c r="M131" s="3">
        <v>0</v>
      </c>
      <c r="N131" t="s">
        <v>64</v>
      </c>
      <c r="O131" t="s">
        <v>26</v>
      </c>
      <c r="P131" t="s">
        <v>35</v>
      </c>
      <c r="Q131" t="s">
        <v>27</v>
      </c>
      <c r="R131" s="3">
        <v>-2229</v>
      </c>
      <c r="S131" t="str">
        <f>TEXT(personal_finance_dashboard_data_200_rows[[#This Row],[Date]],"mmm")</f>
        <v>May</v>
      </c>
      <c r="T131">
        <f>MONTH(personal_finance_dashboard_data_200_rows[[#This Row],[Date]])</f>
        <v>5</v>
      </c>
      <c r="U131" t="str">
        <f>"Q"&amp;ROUNDUP(MONTH(personal_finance_dashboard_data_200_rows[[#This Row],[Date]])/3,0)</f>
        <v>Q2</v>
      </c>
      <c r="V131" t="s">
        <v>342</v>
      </c>
    </row>
    <row r="132" spans="1:22" x14ac:dyDescent="0.3">
      <c r="A132" t="s">
        <v>235</v>
      </c>
      <c r="B132" s="1">
        <v>46148</v>
      </c>
      <c r="C132">
        <v>2026</v>
      </c>
      <c r="D132" t="s">
        <v>37</v>
      </c>
      <c r="E132" t="s">
        <v>20</v>
      </c>
      <c r="F132" t="s">
        <v>110</v>
      </c>
      <c r="G132" t="s">
        <v>111</v>
      </c>
      <c r="H132" t="s">
        <v>32</v>
      </c>
      <c r="I132" t="s">
        <v>236</v>
      </c>
      <c r="J132" t="s">
        <v>111</v>
      </c>
      <c r="K132" s="3">
        <v>10192</v>
      </c>
      <c r="L132" s="3">
        <v>5000</v>
      </c>
      <c r="M132" s="3">
        <v>2000</v>
      </c>
      <c r="N132" t="s">
        <v>58</v>
      </c>
      <c r="O132" t="s">
        <v>26</v>
      </c>
      <c r="P132" t="s">
        <v>35</v>
      </c>
      <c r="Q132" t="s">
        <v>27</v>
      </c>
      <c r="R132" s="3">
        <v>145952</v>
      </c>
      <c r="S132" t="str">
        <f>TEXT(personal_finance_dashboard_data_200_rows[[#This Row],[Date]],"mmm")</f>
        <v>May</v>
      </c>
      <c r="T132">
        <f>MONTH(personal_finance_dashboard_data_200_rows[[#This Row],[Date]])</f>
        <v>5</v>
      </c>
      <c r="U132" t="str">
        <f>"Q"&amp;ROUNDUP(MONTH(personal_finance_dashboard_data_200_rows[[#This Row],[Date]])/3,0)</f>
        <v>Q2</v>
      </c>
      <c r="V132" t="s">
        <v>343</v>
      </c>
    </row>
    <row r="133" spans="1:22" x14ac:dyDescent="0.3">
      <c r="A133" t="s">
        <v>134</v>
      </c>
      <c r="B133" s="1">
        <v>46150</v>
      </c>
      <c r="C133">
        <v>2026</v>
      </c>
      <c r="D133" t="s">
        <v>60</v>
      </c>
      <c r="E133" t="s">
        <v>29</v>
      </c>
      <c r="F133" t="s">
        <v>50</v>
      </c>
      <c r="G133" t="s">
        <v>51</v>
      </c>
      <c r="H133" t="s">
        <v>52</v>
      </c>
      <c r="I133" t="s">
        <v>135</v>
      </c>
      <c r="J133" t="s">
        <v>54</v>
      </c>
      <c r="K133" s="3">
        <v>15000</v>
      </c>
      <c r="L133" s="3">
        <v>0</v>
      </c>
      <c r="M133" s="3">
        <v>10000</v>
      </c>
      <c r="N133" t="s">
        <v>58</v>
      </c>
      <c r="O133" t="s">
        <v>26</v>
      </c>
      <c r="P133" t="s">
        <v>27</v>
      </c>
      <c r="Q133" t="s">
        <v>35</v>
      </c>
      <c r="R133" s="3">
        <v>178106</v>
      </c>
      <c r="S133" t="str">
        <f>TEXT(personal_finance_dashboard_data_200_rows[[#This Row],[Date]],"mmm")</f>
        <v>May</v>
      </c>
      <c r="T133">
        <f>MONTH(personal_finance_dashboard_data_200_rows[[#This Row],[Date]])</f>
        <v>5</v>
      </c>
      <c r="U133" t="str">
        <f>"Q"&amp;ROUNDUP(MONTH(personal_finance_dashboard_data_200_rows[[#This Row],[Date]])/3,0)</f>
        <v>Q2</v>
      </c>
      <c r="V133" t="s">
        <v>342</v>
      </c>
    </row>
    <row r="134" spans="1:22" x14ac:dyDescent="0.3">
      <c r="A134" t="s">
        <v>199</v>
      </c>
      <c r="B134" s="1">
        <v>46150</v>
      </c>
      <c r="C134">
        <v>2026</v>
      </c>
      <c r="D134" t="s">
        <v>19</v>
      </c>
      <c r="E134" t="s">
        <v>20</v>
      </c>
      <c r="F134" t="s">
        <v>61</v>
      </c>
      <c r="G134" t="s">
        <v>62</v>
      </c>
      <c r="H134" t="s">
        <v>68</v>
      </c>
      <c r="I134" t="s">
        <v>63</v>
      </c>
      <c r="J134" t="s">
        <v>62</v>
      </c>
      <c r="K134" s="3">
        <v>13235</v>
      </c>
      <c r="L134" s="3">
        <v>3000</v>
      </c>
      <c r="M134" s="3">
        <v>2000</v>
      </c>
      <c r="N134" t="s">
        <v>25</v>
      </c>
      <c r="O134" t="s">
        <v>26</v>
      </c>
      <c r="P134" t="s">
        <v>27</v>
      </c>
      <c r="Q134" t="s">
        <v>27</v>
      </c>
      <c r="R134" s="3">
        <v>71603</v>
      </c>
      <c r="S134" t="str">
        <f>TEXT(personal_finance_dashboard_data_200_rows[[#This Row],[Date]],"mmm")</f>
        <v>May</v>
      </c>
      <c r="T134">
        <f>MONTH(personal_finance_dashboard_data_200_rows[[#This Row],[Date]])</f>
        <v>5</v>
      </c>
      <c r="U134" t="str">
        <f>"Q"&amp;ROUNDUP(MONTH(personal_finance_dashboard_data_200_rows[[#This Row],[Date]])/3,0)</f>
        <v>Q2</v>
      </c>
      <c r="V134" t="s">
        <v>342</v>
      </c>
    </row>
    <row r="135" spans="1:22" x14ac:dyDescent="0.3">
      <c r="A135" t="s">
        <v>172</v>
      </c>
      <c r="B135" s="1">
        <v>46152</v>
      </c>
      <c r="C135">
        <v>2026</v>
      </c>
      <c r="D135" t="s">
        <v>60</v>
      </c>
      <c r="E135" t="s">
        <v>29</v>
      </c>
      <c r="F135" t="s">
        <v>30</v>
      </c>
      <c r="G135" t="s">
        <v>31</v>
      </c>
      <c r="H135" t="s">
        <v>100</v>
      </c>
      <c r="I135" t="s">
        <v>33</v>
      </c>
      <c r="J135" t="s">
        <v>34</v>
      </c>
      <c r="K135" s="3">
        <v>55000</v>
      </c>
      <c r="L135" s="3">
        <v>0</v>
      </c>
      <c r="M135" s="3">
        <v>0</v>
      </c>
      <c r="N135" t="s">
        <v>97</v>
      </c>
      <c r="O135" t="s">
        <v>26</v>
      </c>
      <c r="P135" t="s">
        <v>35</v>
      </c>
      <c r="Q135" t="s">
        <v>35</v>
      </c>
      <c r="R135" s="3">
        <v>182802</v>
      </c>
      <c r="S135" t="str">
        <f>TEXT(personal_finance_dashboard_data_200_rows[[#This Row],[Date]],"mmm")</f>
        <v>May</v>
      </c>
      <c r="T135">
        <f>MONTH(personal_finance_dashboard_data_200_rows[[#This Row],[Date]])</f>
        <v>5</v>
      </c>
      <c r="U135" t="str">
        <f>"Q"&amp;ROUNDUP(MONTH(personal_finance_dashboard_data_200_rows[[#This Row],[Date]])/3,0)</f>
        <v>Q2</v>
      </c>
      <c r="V135" t="s">
        <v>344</v>
      </c>
    </row>
    <row r="136" spans="1:22" x14ac:dyDescent="0.3">
      <c r="A136" t="s">
        <v>208</v>
      </c>
      <c r="B136" s="1">
        <v>46152</v>
      </c>
      <c r="C136">
        <v>2026</v>
      </c>
      <c r="D136" t="s">
        <v>37</v>
      </c>
      <c r="E136" t="s">
        <v>29</v>
      </c>
      <c r="F136" t="s">
        <v>50</v>
      </c>
      <c r="G136" t="s">
        <v>51</v>
      </c>
      <c r="H136" t="s">
        <v>23</v>
      </c>
      <c r="I136" t="s">
        <v>53</v>
      </c>
      <c r="J136" t="s">
        <v>54</v>
      </c>
      <c r="K136" s="3">
        <v>15000</v>
      </c>
      <c r="L136" s="3">
        <v>0</v>
      </c>
      <c r="M136" s="3">
        <v>10000</v>
      </c>
      <c r="N136" t="s">
        <v>48</v>
      </c>
      <c r="O136" t="s">
        <v>26</v>
      </c>
      <c r="P136" t="s">
        <v>27</v>
      </c>
      <c r="Q136" t="s">
        <v>35</v>
      </c>
      <c r="R136" s="3">
        <v>32596</v>
      </c>
      <c r="S136" t="str">
        <f>TEXT(personal_finance_dashboard_data_200_rows[[#This Row],[Date]],"mmm")</f>
        <v>May</v>
      </c>
      <c r="T136">
        <f>MONTH(personal_finance_dashboard_data_200_rows[[#This Row],[Date]])</f>
        <v>5</v>
      </c>
      <c r="U136" t="str">
        <f>"Q"&amp;ROUNDUP(MONTH(personal_finance_dashboard_data_200_rows[[#This Row],[Date]])/3,0)</f>
        <v>Q2</v>
      </c>
      <c r="V136" t="s">
        <v>344</v>
      </c>
    </row>
    <row r="137" spans="1:22" x14ac:dyDescent="0.3">
      <c r="A137" t="s">
        <v>112</v>
      </c>
      <c r="B137" s="1">
        <v>46153</v>
      </c>
      <c r="C137">
        <v>2026</v>
      </c>
      <c r="D137" t="s">
        <v>60</v>
      </c>
      <c r="E137" t="s">
        <v>20</v>
      </c>
      <c r="F137" t="s">
        <v>45</v>
      </c>
      <c r="G137" t="s">
        <v>46</v>
      </c>
      <c r="H137" t="s">
        <v>32</v>
      </c>
      <c r="I137" t="s">
        <v>47</v>
      </c>
      <c r="J137" t="s">
        <v>46</v>
      </c>
      <c r="K137" s="3">
        <v>20000</v>
      </c>
      <c r="L137" s="3">
        <v>20000</v>
      </c>
      <c r="M137" s="3">
        <v>0</v>
      </c>
      <c r="N137" t="s">
        <v>64</v>
      </c>
      <c r="O137" t="s">
        <v>26</v>
      </c>
      <c r="P137" t="s">
        <v>35</v>
      </c>
      <c r="Q137" t="s">
        <v>27</v>
      </c>
      <c r="R137" s="3">
        <v>54912</v>
      </c>
      <c r="S137" t="str">
        <f>TEXT(personal_finance_dashboard_data_200_rows[[#This Row],[Date]],"mmm")</f>
        <v>May</v>
      </c>
      <c r="T137">
        <f>MONTH(personal_finance_dashboard_data_200_rows[[#This Row],[Date]])</f>
        <v>5</v>
      </c>
      <c r="U137" t="str">
        <f>"Q"&amp;ROUNDUP(MONTH(personal_finance_dashboard_data_200_rows[[#This Row],[Date]])/3,0)</f>
        <v>Q2</v>
      </c>
      <c r="V137" t="s">
        <v>343</v>
      </c>
    </row>
    <row r="138" spans="1:22" x14ac:dyDescent="0.3">
      <c r="A138" t="s">
        <v>73</v>
      </c>
      <c r="B138" s="1">
        <v>46154</v>
      </c>
      <c r="C138">
        <v>2026</v>
      </c>
      <c r="D138" t="s">
        <v>60</v>
      </c>
      <c r="E138" t="s">
        <v>20</v>
      </c>
      <c r="F138" t="s">
        <v>74</v>
      </c>
      <c r="G138" t="s">
        <v>75</v>
      </c>
      <c r="H138" t="s">
        <v>23</v>
      </c>
      <c r="I138" t="s">
        <v>76</v>
      </c>
      <c r="J138" t="s">
        <v>75</v>
      </c>
      <c r="K138" s="3">
        <v>5742</v>
      </c>
      <c r="L138" s="3">
        <v>10000</v>
      </c>
      <c r="M138" s="3">
        <v>2000</v>
      </c>
      <c r="N138" t="s">
        <v>25</v>
      </c>
      <c r="O138" t="s">
        <v>26</v>
      </c>
      <c r="P138" t="s">
        <v>27</v>
      </c>
      <c r="Q138" t="s">
        <v>27</v>
      </c>
      <c r="R138" s="3">
        <v>-5730</v>
      </c>
      <c r="S138" t="str">
        <f>TEXT(personal_finance_dashboard_data_200_rows[[#This Row],[Date]],"mmm")</f>
        <v>May</v>
      </c>
      <c r="T138">
        <f>MONTH(personal_finance_dashboard_data_200_rows[[#This Row],[Date]])</f>
        <v>5</v>
      </c>
      <c r="U138" t="str">
        <f>"Q"&amp;ROUNDUP(MONTH(personal_finance_dashboard_data_200_rows[[#This Row],[Date]])/3,0)</f>
        <v>Q2</v>
      </c>
      <c r="V138" t="s">
        <v>342</v>
      </c>
    </row>
    <row r="139" spans="1:22" x14ac:dyDescent="0.3">
      <c r="A139" t="s">
        <v>304</v>
      </c>
      <c r="B139" s="1">
        <v>46160</v>
      </c>
      <c r="C139">
        <v>2026</v>
      </c>
      <c r="D139" t="s">
        <v>60</v>
      </c>
      <c r="E139" t="s">
        <v>20</v>
      </c>
      <c r="F139" t="s">
        <v>66</v>
      </c>
      <c r="G139" t="s">
        <v>67</v>
      </c>
      <c r="H139" t="s">
        <v>100</v>
      </c>
      <c r="I139" t="s">
        <v>69</v>
      </c>
      <c r="J139" t="s">
        <v>67</v>
      </c>
      <c r="K139" s="3">
        <v>9532</v>
      </c>
      <c r="L139" s="3">
        <v>2000</v>
      </c>
      <c r="M139" s="3">
        <v>0</v>
      </c>
      <c r="N139" t="s">
        <v>58</v>
      </c>
      <c r="O139" t="s">
        <v>26</v>
      </c>
      <c r="P139" t="s">
        <v>35</v>
      </c>
      <c r="Q139" t="s">
        <v>35</v>
      </c>
      <c r="R139" s="3">
        <v>13132</v>
      </c>
      <c r="S139" t="str">
        <f>TEXT(personal_finance_dashboard_data_200_rows[[#This Row],[Date]],"mmm")</f>
        <v>May</v>
      </c>
      <c r="T139">
        <f>MONTH(personal_finance_dashboard_data_200_rows[[#This Row],[Date]])</f>
        <v>5</v>
      </c>
      <c r="U139" t="str">
        <f>"Q"&amp;ROUNDUP(MONTH(personal_finance_dashboard_data_200_rows[[#This Row],[Date]])/3,0)</f>
        <v>Q2</v>
      </c>
      <c r="V139" t="s">
        <v>344</v>
      </c>
    </row>
    <row r="140" spans="1:22" x14ac:dyDescent="0.3">
      <c r="A140" t="s">
        <v>282</v>
      </c>
      <c r="B140" s="1">
        <v>46163</v>
      </c>
      <c r="C140">
        <v>2026</v>
      </c>
      <c r="D140" t="s">
        <v>44</v>
      </c>
      <c r="E140" t="s">
        <v>20</v>
      </c>
      <c r="F140" t="s">
        <v>38</v>
      </c>
      <c r="G140" t="s">
        <v>71</v>
      </c>
      <c r="H140" t="s">
        <v>100</v>
      </c>
      <c r="I140" t="s">
        <v>147</v>
      </c>
      <c r="J140" t="s">
        <v>71</v>
      </c>
      <c r="K140" s="3">
        <v>16365</v>
      </c>
      <c r="L140" s="3">
        <v>8000</v>
      </c>
      <c r="M140" s="3">
        <v>500</v>
      </c>
      <c r="N140" t="s">
        <v>42</v>
      </c>
      <c r="O140" t="s">
        <v>26</v>
      </c>
      <c r="P140" t="s">
        <v>27</v>
      </c>
      <c r="Q140" t="s">
        <v>35</v>
      </c>
      <c r="R140" s="3">
        <v>77459</v>
      </c>
      <c r="S140" t="str">
        <f>TEXT(personal_finance_dashboard_data_200_rows[[#This Row],[Date]],"mmm")</f>
        <v>May</v>
      </c>
      <c r="T140">
        <f>MONTH(personal_finance_dashboard_data_200_rows[[#This Row],[Date]])</f>
        <v>5</v>
      </c>
      <c r="U140" t="str">
        <f>"Q"&amp;ROUNDUP(MONTH(personal_finance_dashboard_data_200_rows[[#This Row],[Date]])/3,0)</f>
        <v>Q2</v>
      </c>
      <c r="V140" t="s">
        <v>343</v>
      </c>
    </row>
    <row r="141" spans="1:22" x14ac:dyDescent="0.3">
      <c r="A141" t="s">
        <v>83</v>
      </c>
      <c r="B141" s="1">
        <v>46164</v>
      </c>
      <c r="C141">
        <v>2026</v>
      </c>
      <c r="D141" t="s">
        <v>37</v>
      </c>
      <c r="E141" t="s">
        <v>20</v>
      </c>
      <c r="F141" t="s">
        <v>84</v>
      </c>
      <c r="G141" t="s">
        <v>85</v>
      </c>
      <c r="H141" t="s">
        <v>23</v>
      </c>
      <c r="I141" t="s">
        <v>86</v>
      </c>
      <c r="J141" t="s">
        <v>85</v>
      </c>
      <c r="K141" s="3">
        <v>7091</v>
      </c>
      <c r="L141" s="3">
        <v>3000</v>
      </c>
      <c r="M141" s="3">
        <v>500</v>
      </c>
      <c r="N141" t="s">
        <v>64</v>
      </c>
      <c r="O141" t="s">
        <v>26</v>
      </c>
      <c r="P141" t="s">
        <v>35</v>
      </c>
      <c r="Q141" t="s">
        <v>27</v>
      </c>
      <c r="R141" s="3">
        <v>-50973</v>
      </c>
      <c r="S141" t="str">
        <f>TEXT(personal_finance_dashboard_data_200_rows[[#This Row],[Date]],"mmm")</f>
        <v>May</v>
      </c>
      <c r="T141">
        <f>MONTH(personal_finance_dashboard_data_200_rows[[#This Row],[Date]])</f>
        <v>5</v>
      </c>
      <c r="U141" t="str">
        <f>"Q"&amp;ROUNDUP(MONTH(personal_finance_dashboard_data_200_rows[[#This Row],[Date]])/3,0)</f>
        <v>Q2</v>
      </c>
      <c r="V141" t="s">
        <v>345</v>
      </c>
    </row>
    <row r="142" spans="1:22" x14ac:dyDescent="0.3">
      <c r="A142" t="s">
        <v>99</v>
      </c>
      <c r="B142" s="1">
        <v>46164</v>
      </c>
      <c r="C142">
        <v>2026</v>
      </c>
      <c r="D142" t="s">
        <v>19</v>
      </c>
      <c r="E142" t="s">
        <v>20</v>
      </c>
      <c r="F142" t="s">
        <v>61</v>
      </c>
      <c r="G142" t="s">
        <v>62</v>
      </c>
      <c r="H142" t="s">
        <v>100</v>
      </c>
      <c r="I142" t="s">
        <v>63</v>
      </c>
      <c r="J142" t="s">
        <v>62</v>
      </c>
      <c r="K142" s="3">
        <v>3556</v>
      </c>
      <c r="L142" s="3">
        <v>3000</v>
      </c>
      <c r="M142" s="3">
        <v>1000</v>
      </c>
      <c r="N142" t="s">
        <v>25</v>
      </c>
      <c r="O142" t="s">
        <v>26</v>
      </c>
      <c r="P142" t="s">
        <v>27</v>
      </c>
      <c r="Q142" t="s">
        <v>27</v>
      </c>
      <c r="R142" s="3">
        <v>-104872</v>
      </c>
      <c r="S142" t="str">
        <f>TEXT(personal_finance_dashboard_data_200_rows[[#This Row],[Date]],"mmm")</f>
        <v>May</v>
      </c>
      <c r="T142">
        <f>MONTH(personal_finance_dashboard_data_200_rows[[#This Row],[Date]])</f>
        <v>5</v>
      </c>
      <c r="U142" t="str">
        <f>"Q"&amp;ROUNDUP(MONTH(personal_finance_dashboard_data_200_rows[[#This Row],[Date]])/3,0)</f>
        <v>Q2</v>
      </c>
      <c r="V142" t="s">
        <v>343</v>
      </c>
    </row>
    <row r="143" spans="1:22" x14ac:dyDescent="0.3">
      <c r="A143" t="s">
        <v>287</v>
      </c>
      <c r="B143" s="1">
        <v>46164</v>
      </c>
      <c r="C143">
        <v>2026</v>
      </c>
      <c r="D143" t="s">
        <v>37</v>
      </c>
      <c r="E143" t="s">
        <v>20</v>
      </c>
      <c r="F143" t="s">
        <v>92</v>
      </c>
      <c r="G143" t="s">
        <v>177</v>
      </c>
      <c r="H143" t="s">
        <v>40</v>
      </c>
      <c r="I143" t="s">
        <v>178</v>
      </c>
      <c r="J143" t="s">
        <v>177</v>
      </c>
      <c r="K143" s="3">
        <v>7035</v>
      </c>
      <c r="L143" s="3">
        <v>5000</v>
      </c>
      <c r="M143" s="3">
        <v>500</v>
      </c>
      <c r="N143" t="s">
        <v>97</v>
      </c>
      <c r="O143" t="s">
        <v>26</v>
      </c>
      <c r="P143" t="s">
        <v>27</v>
      </c>
      <c r="Q143" t="s">
        <v>27</v>
      </c>
      <c r="R143" s="3">
        <v>62823</v>
      </c>
      <c r="S143" t="str">
        <f>TEXT(personal_finance_dashboard_data_200_rows[[#This Row],[Date]],"mmm")</f>
        <v>May</v>
      </c>
      <c r="T143">
        <f>MONTH(personal_finance_dashboard_data_200_rows[[#This Row],[Date]])</f>
        <v>5</v>
      </c>
      <c r="U143" t="str">
        <f>"Q"&amp;ROUNDUP(MONTH(personal_finance_dashboard_data_200_rows[[#This Row],[Date]])/3,0)</f>
        <v>Q2</v>
      </c>
      <c r="V143" t="s">
        <v>343</v>
      </c>
    </row>
    <row r="144" spans="1:22" x14ac:dyDescent="0.3">
      <c r="A144" t="s">
        <v>204</v>
      </c>
      <c r="B144" s="1">
        <v>46165</v>
      </c>
      <c r="C144">
        <v>2026</v>
      </c>
      <c r="D144" t="s">
        <v>37</v>
      </c>
      <c r="E144" t="s">
        <v>29</v>
      </c>
      <c r="F144" t="s">
        <v>107</v>
      </c>
      <c r="G144" t="s">
        <v>107</v>
      </c>
      <c r="H144" t="s">
        <v>23</v>
      </c>
      <c r="I144" t="s">
        <v>33</v>
      </c>
      <c r="J144" t="s">
        <v>108</v>
      </c>
      <c r="K144" s="3">
        <v>5000</v>
      </c>
      <c r="L144" s="3">
        <v>0</v>
      </c>
      <c r="M144" s="3">
        <v>2000</v>
      </c>
      <c r="N144" t="s">
        <v>48</v>
      </c>
      <c r="O144" t="s">
        <v>26</v>
      </c>
      <c r="P144" t="s">
        <v>27</v>
      </c>
      <c r="Q144" t="s">
        <v>27</v>
      </c>
      <c r="R144" s="3">
        <v>32416</v>
      </c>
      <c r="S144" t="str">
        <f>TEXT(personal_finance_dashboard_data_200_rows[[#This Row],[Date]],"mmm")</f>
        <v>May</v>
      </c>
      <c r="T144">
        <f>MONTH(personal_finance_dashboard_data_200_rows[[#This Row],[Date]])</f>
        <v>5</v>
      </c>
      <c r="U144" t="str">
        <f>"Q"&amp;ROUNDUP(MONTH(personal_finance_dashboard_data_200_rows[[#This Row],[Date]])/3,0)</f>
        <v>Q2</v>
      </c>
      <c r="V144" t="s">
        <v>343</v>
      </c>
    </row>
    <row r="145" spans="1:22" x14ac:dyDescent="0.3">
      <c r="A145" t="s">
        <v>155</v>
      </c>
      <c r="B145" s="1">
        <v>46166</v>
      </c>
      <c r="C145">
        <v>2026</v>
      </c>
      <c r="D145" t="s">
        <v>19</v>
      </c>
      <c r="E145" t="s">
        <v>20</v>
      </c>
      <c r="F145" t="s">
        <v>74</v>
      </c>
      <c r="G145" t="s">
        <v>75</v>
      </c>
      <c r="H145" t="s">
        <v>68</v>
      </c>
      <c r="I145" t="s">
        <v>156</v>
      </c>
      <c r="J145" t="s">
        <v>75</v>
      </c>
      <c r="K145" s="3">
        <v>13817</v>
      </c>
      <c r="L145" s="3">
        <v>10000</v>
      </c>
      <c r="M145" s="3">
        <v>0</v>
      </c>
      <c r="N145" t="s">
        <v>48</v>
      </c>
      <c r="O145" t="s">
        <v>26</v>
      </c>
      <c r="P145" t="s">
        <v>35</v>
      </c>
      <c r="Q145" t="s">
        <v>27</v>
      </c>
      <c r="R145" s="3">
        <v>64973</v>
      </c>
      <c r="S145" t="str">
        <f>TEXT(personal_finance_dashboard_data_200_rows[[#This Row],[Date]],"mmm")</f>
        <v>May</v>
      </c>
      <c r="T145">
        <f>MONTH(personal_finance_dashboard_data_200_rows[[#This Row],[Date]])</f>
        <v>5</v>
      </c>
      <c r="U145" t="str">
        <f>"Q"&amp;ROUNDUP(MONTH(personal_finance_dashboard_data_200_rows[[#This Row],[Date]])/3,0)</f>
        <v>Q2</v>
      </c>
      <c r="V145" t="s">
        <v>343</v>
      </c>
    </row>
    <row r="146" spans="1:22" x14ac:dyDescent="0.3">
      <c r="A146" t="s">
        <v>308</v>
      </c>
      <c r="B146" s="1">
        <v>46166</v>
      </c>
      <c r="C146">
        <v>2026</v>
      </c>
      <c r="D146" t="s">
        <v>60</v>
      </c>
      <c r="E146" t="s">
        <v>20</v>
      </c>
      <c r="F146" t="s">
        <v>84</v>
      </c>
      <c r="G146" t="s">
        <v>85</v>
      </c>
      <c r="H146" t="s">
        <v>68</v>
      </c>
      <c r="I146" t="s">
        <v>86</v>
      </c>
      <c r="J146" t="s">
        <v>85</v>
      </c>
      <c r="K146" s="3">
        <v>14142</v>
      </c>
      <c r="L146" s="3">
        <v>3000</v>
      </c>
      <c r="M146" s="3">
        <v>0</v>
      </c>
      <c r="N146" t="s">
        <v>25</v>
      </c>
      <c r="O146" t="s">
        <v>26</v>
      </c>
      <c r="P146" t="s">
        <v>35</v>
      </c>
      <c r="Q146" t="s">
        <v>27</v>
      </c>
      <c r="R146" s="3">
        <v>54474</v>
      </c>
      <c r="S146" t="str">
        <f>TEXT(personal_finance_dashboard_data_200_rows[[#This Row],[Date]],"mmm")</f>
        <v>May</v>
      </c>
      <c r="T146">
        <f>MONTH(personal_finance_dashboard_data_200_rows[[#This Row],[Date]])</f>
        <v>5</v>
      </c>
      <c r="U146" t="str">
        <f>"Q"&amp;ROUNDUP(MONTH(personal_finance_dashboard_data_200_rows[[#This Row],[Date]])/3,0)</f>
        <v>Q2</v>
      </c>
      <c r="V146" t="s">
        <v>344</v>
      </c>
    </row>
    <row r="147" spans="1:22" x14ac:dyDescent="0.3">
      <c r="A147" t="s">
        <v>310</v>
      </c>
      <c r="B147" s="1">
        <v>46166</v>
      </c>
      <c r="C147">
        <v>2026</v>
      </c>
      <c r="D147" t="s">
        <v>37</v>
      </c>
      <c r="E147" t="s">
        <v>20</v>
      </c>
      <c r="F147" t="s">
        <v>21</v>
      </c>
      <c r="G147" t="s">
        <v>56</v>
      </c>
      <c r="H147" t="s">
        <v>68</v>
      </c>
      <c r="I147" t="s">
        <v>57</v>
      </c>
      <c r="J147" t="s">
        <v>56</v>
      </c>
      <c r="K147" s="3">
        <v>3090</v>
      </c>
      <c r="L147" s="3">
        <v>4000</v>
      </c>
      <c r="M147" s="3">
        <v>0</v>
      </c>
      <c r="N147" t="s">
        <v>97</v>
      </c>
      <c r="O147" t="s">
        <v>26</v>
      </c>
      <c r="P147" t="s">
        <v>27</v>
      </c>
      <c r="Q147" t="s">
        <v>27</v>
      </c>
      <c r="R147" s="3">
        <v>46154</v>
      </c>
      <c r="S147" t="str">
        <f>TEXT(personal_finance_dashboard_data_200_rows[[#This Row],[Date]],"mmm")</f>
        <v>May</v>
      </c>
      <c r="T147">
        <f>MONTH(personal_finance_dashboard_data_200_rows[[#This Row],[Date]])</f>
        <v>5</v>
      </c>
      <c r="U147" t="str">
        <f>"Q"&amp;ROUNDUP(MONTH(personal_finance_dashboard_data_200_rows[[#This Row],[Date]])/3,0)</f>
        <v>Q2</v>
      </c>
      <c r="V147" t="s">
        <v>342</v>
      </c>
    </row>
    <row r="148" spans="1:22" x14ac:dyDescent="0.3">
      <c r="A148" t="s">
        <v>117</v>
      </c>
      <c r="B148" s="1">
        <v>46167</v>
      </c>
      <c r="C148">
        <v>2026</v>
      </c>
      <c r="D148" t="s">
        <v>60</v>
      </c>
      <c r="E148" t="s">
        <v>20</v>
      </c>
      <c r="F148" t="s">
        <v>21</v>
      </c>
      <c r="G148" t="s">
        <v>22</v>
      </c>
      <c r="H148" t="s">
        <v>68</v>
      </c>
      <c r="I148" t="s">
        <v>118</v>
      </c>
      <c r="J148" t="s">
        <v>22</v>
      </c>
      <c r="K148" s="3">
        <v>6301</v>
      </c>
      <c r="L148" s="3">
        <v>4000</v>
      </c>
      <c r="M148" s="3">
        <v>0</v>
      </c>
      <c r="N148" t="s">
        <v>48</v>
      </c>
      <c r="O148" t="s">
        <v>26</v>
      </c>
      <c r="P148" t="s">
        <v>27</v>
      </c>
      <c r="Q148" t="s">
        <v>27</v>
      </c>
      <c r="R148" s="3">
        <v>102795</v>
      </c>
      <c r="S148" t="str">
        <f>TEXT(personal_finance_dashboard_data_200_rows[[#This Row],[Date]],"mmm")</f>
        <v>May</v>
      </c>
      <c r="T148">
        <f>MONTH(personal_finance_dashboard_data_200_rows[[#This Row],[Date]])</f>
        <v>5</v>
      </c>
      <c r="U148" t="str">
        <f>"Q"&amp;ROUNDUP(MONTH(personal_finance_dashboard_data_200_rows[[#This Row],[Date]])/3,0)</f>
        <v>Q2</v>
      </c>
      <c r="V148" t="s">
        <v>342</v>
      </c>
    </row>
    <row r="149" spans="1:22" x14ac:dyDescent="0.3">
      <c r="A149" t="s">
        <v>227</v>
      </c>
      <c r="B149" s="1">
        <v>46168</v>
      </c>
      <c r="C149">
        <v>2026</v>
      </c>
      <c r="D149" t="s">
        <v>60</v>
      </c>
      <c r="E149" t="s">
        <v>20</v>
      </c>
      <c r="F149" t="s">
        <v>66</v>
      </c>
      <c r="G149" t="s">
        <v>130</v>
      </c>
      <c r="H149" t="s">
        <v>68</v>
      </c>
      <c r="I149" t="s">
        <v>131</v>
      </c>
      <c r="J149" t="s">
        <v>130</v>
      </c>
      <c r="K149" s="3">
        <v>5446</v>
      </c>
      <c r="L149" s="3">
        <v>2000</v>
      </c>
      <c r="M149" s="3">
        <v>0</v>
      </c>
      <c r="N149" t="s">
        <v>42</v>
      </c>
      <c r="O149" t="s">
        <v>26</v>
      </c>
      <c r="P149" t="s">
        <v>35</v>
      </c>
      <c r="Q149" t="s">
        <v>35</v>
      </c>
      <c r="R149" s="3">
        <v>154377</v>
      </c>
      <c r="S149" t="str">
        <f>TEXT(personal_finance_dashboard_data_200_rows[[#This Row],[Date]],"mmm")</f>
        <v>May</v>
      </c>
      <c r="T149">
        <f>MONTH(personal_finance_dashboard_data_200_rows[[#This Row],[Date]])</f>
        <v>5</v>
      </c>
      <c r="U149" t="str">
        <f>"Q"&amp;ROUNDUP(MONTH(personal_finance_dashboard_data_200_rows[[#This Row],[Date]])/3,0)</f>
        <v>Q2</v>
      </c>
      <c r="V149" t="s">
        <v>343</v>
      </c>
    </row>
    <row r="150" spans="1:22" x14ac:dyDescent="0.3">
      <c r="A150" t="s">
        <v>300</v>
      </c>
      <c r="B150" s="1">
        <v>46168</v>
      </c>
      <c r="C150">
        <v>2026</v>
      </c>
      <c r="D150" t="s">
        <v>19</v>
      </c>
      <c r="E150" t="s">
        <v>20</v>
      </c>
      <c r="F150" t="s">
        <v>38</v>
      </c>
      <c r="G150" t="s">
        <v>71</v>
      </c>
      <c r="H150" t="s">
        <v>68</v>
      </c>
      <c r="I150" t="s">
        <v>72</v>
      </c>
      <c r="J150" t="s">
        <v>71</v>
      </c>
      <c r="K150" s="3">
        <v>1213</v>
      </c>
      <c r="L150" s="3">
        <v>8000</v>
      </c>
      <c r="M150" s="3">
        <v>0</v>
      </c>
      <c r="N150" t="s">
        <v>48</v>
      </c>
      <c r="O150" t="s">
        <v>26</v>
      </c>
      <c r="P150" t="s">
        <v>27</v>
      </c>
      <c r="Q150" t="s">
        <v>27</v>
      </c>
      <c r="R150" s="3">
        <v>38907</v>
      </c>
      <c r="S150" t="str">
        <f>TEXT(personal_finance_dashboard_data_200_rows[[#This Row],[Date]],"mmm")</f>
        <v>May</v>
      </c>
      <c r="T150">
        <f>MONTH(personal_finance_dashboard_data_200_rows[[#This Row],[Date]])</f>
        <v>5</v>
      </c>
      <c r="U150" t="str">
        <f>"Q"&amp;ROUNDUP(MONTH(personal_finance_dashboard_data_200_rows[[#This Row],[Date]])/3,0)</f>
        <v>Q2</v>
      </c>
      <c r="V150" t="s">
        <v>343</v>
      </c>
    </row>
    <row r="151" spans="1:22" x14ac:dyDescent="0.3">
      <c r="A151" t="s">
        <v>274</v>
      </c>
      <c r="B151" s="1">
        <v>46169</v>
      </c>
      <c r="C151">
        <v>2026</v>
      </c>
      <c r="D151" t="s">
        <v>37</v>
      </c>
      <c r="E151" t="s">
        <v>20</v>
      </c>
      <c r="F151" t="s">
        <v>74</v>
      </c>
      <c r="G151" t="s">
        <v>166</v>
      </c>
      <c r="H151" t="s">
        <v>68</v>
      </c>
      <c r="I151" t="s">
        <v>263</v>
      </c>
      <c r="J151" t="s">
        <v>166</v>
      </c>
      <c r="K151" s="3">
        <v>17023</v>
      </c>
      <c r="L151" s="3">
        <v>10000</v>
      </c>
      <c r="M151" s="3">
        <v>500</v>
      </c>
      <c r="N151" t="s">
        <v>64</v>
      </c>
      <c r="O151" t="s">
        <v>26</v>
      </c>
      <c r="P151" t="s">
        <v>35</v>
      </c>
      <c r="Q151" t="s">
        <v>27</v>
      </c>
      <c r="R151" s="3">
        <v>30481</v>
      </c>
      <c r="S151" t="str">
        <f>TEXT(personal_finance_dashboard_data_200_rows[[#This Row],[Date]],"mmm")</f>
        <v>May</v>
      </c>
      <c r="T151">
        <f>MONTH(personal_finance_dashboard_data_200_rows[[#This Row],[Date]])</f>
        <v>5</v>
      </c>
      <c r="U151" t="str">
        <f>"Q"&amp;ROUNDUP(MONTH(personal_finance_dashboard_data_200_rows[[#This Row],[Date]])/3,0)</f>
        <v>Q2</v>
      </c>
      <c r="V151" t="s">
        <v>345</v>
      </c>
    </row>
    <row r="152" spans="1:22" x14ac:dyDescent="0.3">
      <c r="A152" t="s">
        <v>284</v>
      </c>
      <c r="B152" s="1">
        <v>46170</v>
      </c>
      <c r="C152">
        <v>2026</v>
      </c>
      <c r="D152" t="s">
        <v>60</v>
      </c>
      <c r="E152" t="s">
        <v>20</v>
      </c>
      <c r="F152" t="s">
        <v>110</v>
      </c>
      <c r="G152" t="s">
        <v>111</v>
      </c>
      <c r="H152" t="s">
        <v>40</v>
      </c>
      <c r="I152" t="s">
        <v>154</v>
      </c>
      <c r="J152" t="s">
        <v>111</v>
      </c>
      <c r="K152" s="3">
        <v>1878</v>
      </c>
      <c r="L152" s="3">
        <v>5000</v>
      </c>
      <c r="M152" s="3">
        <v>0</v>
      </c>
      <c r="N152" t="s">
        <v>97</v>
      </c>
      <c r="O152" t="s">
        <v>26</v>
      </c>
      <c r="P152" t="s">
        <v>35</v>
      </c>
      <c r="Q152" t="s">
        <v>27</v>
      </c>
      <c r="R152" s="3">
        <v>90581</v>
      </c>
      <c r="S152" t="str">
        <f>TEXT(personal_finance_dashboard_data_200_rows[[#This Row],[Date]],"mmm")</f>
        <v>May</v>
      </c>
      <c r="T152">
        <f>MONTH(personal_finance_dashboard_data_200_rows[[#This Row],[Date]])</f>
        <v>5</v>
      </c>
      <c r="U152" t="str">
        <f>"Q"&amp;ROUNDUP(MONTH(personal_finance_dashboard_data_200_rows[[#This Row],[Date]])/3,0)</f>
        <v>Q2</v>
      </c>
      <c r="V152" t="s">
        <v>342</v>
      </c>
    </row>
    <row r="153" spans="1:22" x14ac:dyDescent="0.3">
      <c r="A153" t="s">
        <v>49</v>
      </c>
      <c r="B153" s="1">
        <v>46171</v>
      </c>
      <c r="C153">
        <v>2026</v>
      </c>
      <c r="D153" t="s">
        <v>37</v>
      </c>
      <c r="E153" t="s">
        <v>29</v>
      </c>
      <c r="F153" t="s">
        <v>50</v>
      </c>
      <c r="G153" t="s">
        <v>51</v>
      </c>
      <c r="H153" t="s">
        <v>52</v>
      </c>
      <c r="I153" t="s">
        <v>53</v>
      </c>
      <c r="J153" t="s">
        <v>54</v>
      </c>
      <c r="K153" s="3">
        <v>5000</v>
      </c>
      <c r="L153" s="3">
        <v>0</v>
      </c>
      <c r="M153" s="3">
        <v>10000</v>
      </c>
      <c r="N153" t="s">
        <v>42</v>
      </c>
      <c r="O153" t="s">
        <v>26</v>
      </c>
      <c r="P153" t="s">
        <v>27</v>
      </c>
      <c r="Q153" t="s">
        <v>27</v>
      </c>
      <c r="R153" s="3">
        <v>45373</v>
      </c>
      <c r="S153" t="str">
        <f>TEXT(personal_finance_dashboard_data_200_rows[[#This Row],[Date]],"mmm")</f>
        <v>May</v>
      </c>
      <c r="T153">
        <f>MONTH(personal_finance_dashboard_data_200_rows[[#This Row],[Date]])</f>
        <v>5</v>
      </c>
      <c r="U153" t="str">
        <f>"Q"&amp;ROUNDUP(MONTH(personal_finance_dashboard_data_200_rows[[#This Row],[Date]])/3,0)</f>
        <v>Q2</v>
      </c>
      <c r="V153" t="s">
        <v>344</v>
      </c>
    </row>
    <row r="154" spans="1:22" x14ac:dyDescent="0.3">
      <c r="A154" t="s">
        <v>192</v>
      </c>
      <c r="B154" s="1">
        <v>46171</v>
      </c>
      <c r="C154">
        <v>2026</v>
      </c>
      <c r="D154" t="s">
        <v>44</v>
      </c>
      <c r="E154" t="s">
        <v>20</v>
      </c>
      <c r="F154" t="s">
        <v>84</v>
      </c>
      <c r="G154" t="s">
        <v>85</v>
      </c>
      <c r="H154" t="s">
        <v>52</v>
      </c>
      <c r="I154" t="s">
        <v>86</v>
      </c>
      <c r="J154" t="s">
        <v>85</v>
      </c>
      <c r="K154" s="3">
        <v>765</v>
      </c>
      <c r="L154" s="3">
        <v>3000</v>
      </c>
      <c r="M154" s="3">
        <v>0</v>
      </c>
      <c r="N154" t="s">
        <v>42</v>
      </c>
      <c r="O154" t="s">
        <v>26</v>
      </c>
      <c r="P154" t="s">
        <v>35</v>
      </c>
      <c r="Q154" t="s">
        <v>27</v>
      </c>
      <c r="R154" s="3">
        <v>131123</v>
      </c>
      <c r="S154" t="str">
        <f>TEXT(personal_finance_dashboard_data_200_rows[[#This Row],[Date]],"mmm")</f>
        <v>May</v>
      </c>
      <c r="T154">
        <f>MONTH(personal_finance_dashboard_data_200_rows[[#This Row],[Date]])</f>
        <v>5</v>
      </c>
      <c r="U154" t="str">
        <f>"Q"&amp;ROUNDUP(MONTH(personal_finance_dashboard_data_200_rows[[#This Row],[Date]])/3,0)</f>
        <v>Q2</v>
      </c>
      <c r="V154" t="s">
        <v>343</v>
      </c>
    </row>
    <row r="155" spans="1:22" x14ac:dyDescent="0.3">
      <c r="A155" t="s">
        <v>116</v>
      </c>
      <c r="B155" s="1">
        <v>46173</v>
      </c>
      <c r="C155">
        <v>2026</v>
      </c>
      <c r="D155" t="s">
        <v>37</v>
      </c>
      <c r="E155" t="s">
        <v>29</v>
      </c>
      <c r="F155" t="s">
        <v>30</v>
      </c>
      <c r="G155" t="s">
        <v>31</v>
      </c>
      <c r="H155" t="s">
        <v>52</v>
      </c>
      <c r="I155" t="s">
        <v>33</v>
      </c>
      <c r="J155" t="s">
        <v>34</v>
      </c>
      <c r="K155" s="3">
        <v>55000</v>
      </c>
      <c r="L155" s="3">
        <v>0</v>
      </c>
      <c r="M155" s="3">
        <v>2000</v>
      </c>
      <c r="N155" t="s">
        <v>97</v>
      </c>
      <c r="O155" t="s">
        <v>26</v>
      </c>
      <c r="P155" t="s">
        <v>35</v>
      </c>
      <c r="Q155" t="s">
        <v>35</v>
      </c>
      <c r="R155" s="3">
        <v>109096</v>
      </c>
      <c r="S155" t="str">
        <f>TEXT(personal_finance_dashboard_data_200_rows[[#This Row],[Date]],"mmm")</f>
        <v>May</v>
      </c>
      <c r="T155">
        <f>MONTH(personal_finance_dashboard_data_200_rows[[#This Row],[Date]])</f>
        <v>5</v>
      </c>
      <c r="U155" t="str">
        <f>"Q"&amp;ROUNDUP(MONTH(personal_finance_dashboard_data_200_rows[[#This Row],[Date]])/3,0)</f>
        <v>Q2</v>
      </c>
      <c r="V155" t="s">
        <v>342</v>
      </c>
    </row>
    <row r="156" spans="1:22" x14ac:dyDescent="0.3">
      <c r="A156" t="s">
        <v>142</v>
      </c>
      <c r="B156" s="1">
        <v>46173</v>
      </c>
      <c r="C156">
        <v>2026</v>
      </c>
      <c r="D156" t="s">
        <v>19</v>
      </c>
      <c r="E156" t="s">
        <v>20</v>
      </c>
      <c r="F156" t="s">
        <v>45</v>
      </c>
      <c r="G156" t="s">
        <v>46</v>
      </c>
      <c r="H156" t="s">
        <v>68</v>
      </c>
      <c r="I156" t="s">
        <v>96</v>
      </c>
      <c r="J156" t="s">
        <v>46</v>
      </c>
      <c r="K156" s="3">
        <v>22000</v>
      </c>
      <c r="L156" s="3">
        <v>20000</v>
      </c>
      <c r="M156" s="3">
        <v>2000</v>
      </c>
      <c r="N156" t="s">
        <v>48</v>
      </c>
      <c r="O156" t="s">
        <v>26</v>
      </c>
      <c r="P156" t="s">
        <v>35</v>
      </c>
      <c r="Q156" t="s">
        <v>27</v>
      </c>
      <c r="R156" s="3">
        <v>104365</v>
      </c>
      <c r="S156" t="str">
        <f>TEXT(personal_finance_dashboard_data_200_rows[[#This Row],[Date]],"mmm")</f>
        <v>May</v>
      </c>
      <c r="T156">
        <f>MONTH(personal_finance_dashboard_data_200_rows[[#This Row],[Date]])</f>
        <v>5</v>
      </c>
      <c r="U156" t="str">
        <f>"Q"&amp;ROUNDUP(MONTH(personal_finance_dashboard_data_200_rows[[#This Row],[Date]])/3,0)</f>
        <v>Q2</v>
      </c>
      <c r="V156" t="s">
        <v>345</v>
      </c>
    </row>
    <row r="157" spans="1:22" x14ac:dyDescent="0.3">
      <c r="A157" t="s">
        <v>168</v>
      </c>
      <c r="B157" s="1">
        <v>46174</v>
      </c>
      <c r="C157">
        <v>2026</v>
      </c>
      <c r="D157" t="s">
        <v>60</v>
      </c>
      <c r="E157" t="s">
        <v>20</v>
      </c>
      <c r="F157" t="s">
        <v>45</v>
      </c>
      <c r="G157" t="s">
        <v>46</v>
      </c>
      <c r="H157" t="s">
        <v>40</v>
      </c>
      <c r="I157" t="s">
        <v>96</v>
      </c>
      <c r="J157" t="s">
        <v>46</v>
      </c>
      <c r="K157" s="3">
        <v>18000</v>
      </c>
      <c r="L157" s="3">
        <v>20000</v>
      </c>
      <c r="M157" s="3">
        <v>0</v>
      </c>
      <c r="N157" t="s">
        <v>64</v>
      </c>
      <c r="O157" t="s">
        <v>26</v>
      </c>
      <c r="P157" t="s">
        <v>35</v>
      </c>
      <c r="Q157" t="s">
        <v>27</v>
      </c>
      <c r="R157" s="3">
        <v>64784</v>
      </c>
      <c r="S157" t="str">
        <f>TEXT(personal_finance_dashboard_data_200_rows[[#This Row],[Date]],"mmm")</f>
        <v>Jun</v>
      </c>
      <c r="T157">
        <f>MONTH(personal_finance_dashboard_data_200_rows[[#This Row],[Date]])</f>
        <v>6</v>
      </c>
      <c r="U157" t="str">
        <f>"Q"&amp;ROUNDUP(MONTH(personal_finance_dashboard_data_200_rows[[#This Row],[Date]])/3,0)</f>
        <v>Q2</v>
      </c>
      <c r="V157" t="s">
        <v>344</v>
      </c>
    </row>
    <row r="158" spans="1:22" x14ac:dyDescent="0.3">
      <c r="A158" t="s">
        <v>215</v>
      </c>
      <c r="B158" s="1">
        <v>46177</v>
      </c>
      <c r="C158">
        <v>2026</v>
      </c>
      <c r="D158" t="s">
        <v>44</v>
      </c>
      <c r="E158" t="s">
        <v>29</v>
      </c>
      <c r="F158" t="s">
        <v>30</v>
      </c>
      <c r="G158" t="s">
        <v>31</v>
      </c>
      <c r="H158" t="s">
        <v>52</v>
      </c>
      <c r="I158" t="s">
        <v>33</v>
      </c>
      <c r="J158" t="s">
        <v>34</v>
      </c>
      <c r="K158" s="3">
        <v>60000</v>
      </c>
      <c r="L158" s="3">
        <v>0</v>
      </c>
      <c r="M158" s="3">
        <v>0</v>
      </c>
      <c r="N158" t="s">
        <v>64</v>
      </c>
      <c r="O158" t="s">
        <v>26</v>
      </c>
      <c r="P158" t="s">
        <v>35</v>
      </c>
      <c r="Q158" t="s">
        <v>35</v>
      </c>
      <c r="R158" s="3">
        <v>60277</v>
      </c>
      <c r="S158" t="str">
        <f>TEXT(personal_finance_dashboard_data_200_rows[[#This Row],[Date]],"mmm")</f>
        <v>Jun</v>
      </c>
      <c r="T158">
        <f>MONTH(personal_finance_dashboard_data_200_rows[[#This Row],[Date]])</f>
        <v>6</v>
      </c>
      <c r="U158" t="str">
        <f>"Q"&amp;ROUNDUP(MONTH(personal_finance_dashboard_data_200_rows[[#This Row],[Date]])/3,0)</f>
        <v>Q2</v>
      </c>
      <c r="V158" t="s">
        <v>342</v>
      </c>
    </row>
    <row r="159" spans="1:22" x14ac:dyDescent="0.3">
      <c r="A159" t="s">
        <v>252</v>
      </c>
      <c r="B159" s="1">
        <v>46178</v>
      </c>
      <c r="C159">
        <v>2026</v>
      </c>
      <c r="D159" t="s">
        <v>37</v>
      </c>
      <c r="E159" t="s">
        <v>20</v>
      </c>
      <c r="F159" t="s">
        <v>74</v>
      </c>
      <c r="G159" t="s">
        <v>81</v>
      </c>
      <c r="H159" t="s">
        <v>23</v>
      </c>
      <c r="I159" t="s">
        <v>72</v>
      </c>
      <c r="J159" t="s">
        <v>81</v>
      </c>
      <c r="K159" s="3">
        <v>11245</v>
      </c>
      <c r="L159" s="3">
        <v>10000</v>
      </c>
      <c r="M159" s="3">
        <v>500</v>
      </c>
      <c r="N159" t="s">
        <v>48</v>
      </c>
      <c r="O159" t="s">
        <v>26</v>
      </c>
      <c r="P159" t="s">
        <v>27</v>
      </c>
      <c r="Q159" t="s">
        <v>27</v>
      </c>
      <c r="R159" s="3">
        <v>159285</v>
      </c>
      <c r="S159" t="str">
        <f>TEXT(personal_finance_dashboard_data_200_rows[[#This Row],[Date]],"mmm")</f>
        <v>Jun</v>
      </c>
      <c r="T159">
        <f>MONTH(personal_finance_dashboard_data_200_rows[[#This Row],[Date]])</f>
        <v>6</v>
      </c>
      <c r="U159" t="str">
        <f>"Q"&amp;ROUNDUP(MONTH(personal_finance_dashboard_data_200_rows[[#This Row],[Date]])/3,0)</f>
        <v>Q2</v>
      </c>
      <c r="V159" t="s">
        <v>343</v>
      </c>
    </row>
    <row r="160" spans="1:22" x14ac:dyDescent="0.3">
      <c r="A160" t="s">
        <v>269</v>
      </c>
      <c r="B160" s="1">
        <v>46179</v>
      </c>
      <c r="C160">
        <v>2026</v>
      </c>
      <c r="D160" t="s">
        <v>37</v>
      </c>
      <c r="E160" t="s">
        <v>20</v>
      </c>
      <c r="F160" t="s">
        <v>66</v>
      </c>
      <c r="G160" t="s">
        <v>130</v>
      </c>
      <c r="H160" t="s">
        <v>100</v>
      </c>
      <c r="I160" t="s">
        <v>69</v>
      </c>
      <c r="J160" t="s">
        <v>130</v>
      </c>
      <c r="K160" s="3">
        <v>13565</v>
      </c>
      <c r="L160" s="3">
        <v>2000</v>
      </c>
      <c r="M160" s="3">
        <v>500</v>
      </c>
      <c r="N160" t="s">
        <v>64</v>
      </c>
      <c r="O160" t="s">
        <v>26</v>
      </c>
      <c r="P160" t="s">
        <v>35</v>
      </c>
      <c r="Q160" t="s">
        <v>35</v>
      </c>
      <c r="R160" s="3">
        <v>92551</v>
      </c>
      <c r="S160" t="str">
        <f>TEXT(personal_finance_dashboard_data_200_rows[[#This Row],[Date]],"mmm")</f>
        <v>Jun</v>
      </c>
      <c r="T160">
        <f>MONTH(personal_finance_dashboard_data_200_rows[[#This Row],[Date]])</f>
        <v>6</v>
      </c>
      <c r="U160" t="str">
        <f>"Q"&amp;ROUNDUP(MONTH(personal_finance_dashboard_data_200_rows[[#This Row],[Date]])/3,0)</f>
        <v>Q2</v>
      </c>
      <c r="V160" t="s">
        <v>342</v>
      </c>
    </row>
    <row r="161" spans="1:22" x14ac:dyDescent="0.3">
      <c r="A161" t="s">
        <v>297</v>
      </c>
      <c r="B161" s="1">
        <v>46179</v>
      </c>
      <c r="C161">
        <v>2026</v>
      </c>
      <c r="D161" t="s">
        <v>44</v>
      </c>
      <c r="E161" t="s">
        <v>20</v>
      </c>
      <c r="F161" t="s">
        <v>92</v>
      </c>
      <c r="G161" t="s">
        <v>93</v>
      </c>
      <c r="H161" t="s">
        <v>23</v>
      </c>
      <c r="I161" t="s">
        <v>163</v>
      </c>
      <c r="J161" t="s">
        <v>93</v>
      </c>
      <c r="K161" s="3">
        <v>8608</v>
      </c>
      <c r="L161" s="3">
        <v>5000</v>
      </c>
      <c r="M161" s="3">
        <v>0</v>
      </c>
      <c r="N161" t="s">
        <v>97</v>
      </c>
      <c r="O161" t="s">
        <v>26</v>
      </c>
      <c r="P161" t="s">
        <v>35</v>
      </c>
      <c r="Q161" t="s">
        <v>27</v>
      </c>
      <c r="R161" s="3">
        <v>47853</v>
      </c>
      <c r="S161" t="str">
        <f>TEXT(personal_finance_dashboard_data_200_rows[[#This Row],[Date]],"mmm")</f>
        <v>Jun</v>
      </c>
      <c r="T161">
        <f>MONTH(personal_finance_dashboard_data_200_rows[[#This Row],[Date]])</f>
        <v>6</v>
      </c>
      <c r="U161" t="str">
        <f>"Q"&amp;ROUNDUP(MONTH(personal_finance_dashboard_data_200_rows[[#This Row],[Date]])/3,0)</f>
        <v>Q2</v>
      </c>
      <c r="V161" t="s">
        <v>344</v>
      </c>
    </row>
    <row r="162" spans="1:22" x14ac:dyDescent="0.3">
      <c r="A162" t="s">
        <v>266</v>
      </c>
      <c r="B162" s="1">
        <v>46181</v>
      </c>
      <c r="C162">
        <v>2026</v>
      </c>
      <c r="D162" t="s">
        <v>19</v>
      </c>
      <c r="E162" t="s">
        <v>20</v>
      </c>
      <c r="F162" t="s">
        <v>110</v>
      </c>
      <c r="G162" t="s">
        <v>111</v>
      </c>
      <c r="H162" t="s">
        <v>52</v>
      </c>
      <c r="I162" t="s">
        <v>76</v>
      </c>
      <c r="J162" t="s">
        <v>111</v>
      </c>
      <c r="K162" s="3">
        <v>11563</v>
      </c>
      <c r="L162" s="3">
        <v>5000</v>
      </c>
      <c r="M162" s="3">
        <v>0</v>
      </c>
      <c r="N162" t="s">
        <v>48</v>
      </c>
      <c r="O162" t="s">
        <v>26</v>
      </c>
      <c r="P162" t="s">
        <v>27</v>
      </c>
      <c r="Q162" t="s">
        <v>27</v>
      </c>
      <c r="R162" s="3">
        <v>113116</v>
      </c>
      <c r="S162" t="str">
        <f>TEXT(personal_finance_dashboard_data_200_rows[[#This Row],[Date]],"mmm")</f>
        <v>Jun</v>
      </c>
      <c r="T162">
        <f>MONTH(personal_finance_dashboard_data_200_rows[[#This Row],[Date]])</f>
        <v>6</v>
      </c>
      <c r="U162" t="str">
        <f>"Q"&amp;ROUNDUP(MONTH(personal_finance_dashboard_data_200_rows[[#This Row],[Date]])/3,0)</f>
        <v>Q2</v>
      </c>
      <c r="V162" t="s">
        <v>342</v>
      </c>
    </row>
    <row r="163" spans="1:22" x14ac:dyDescent="0.3">
      <c r="A163" t="s">
        <v>305</v>
      </c>
      <c r="B163" s="1">
        <v>46181</v>
      </c>
      <c r="C163">
        <v>2026</v>
      </c>
      <c r="D163" t="s">
        <v>19</v>
      </c>
      <c r="E163" t="s">
        <v>29</v>
      </c>
      <c r="F163" t="s">
        <v>30</v>
      </c>
      <c r="G163" t="s">
        <v>31</v>
      </c>
      <c r="H163" t="s">
        <v>23</v>
      </c>
      <c r="I163" t="s">
        <v>33</v>
      </c>
      <c r="J163" t="s">
        <v>34</v>
      </c>
      <c r="K163" s="3">
        <v>60000</v>
      </c>
      <c r="L163" s="3">
        <v>0</v>
      </c>
      <c r="M163" s="3">
        <v>2000</v>
      </c>
      <c r="N163" t="s">
        <v>58</v>
      </c>
      <c r="O163" t="s">
        <v>26</v>
      </c>
      <c r="P163" t="s">
        <v>35</v>
      </c>
      <c r="Q163" t="s">
        <v>35</v>
      </c>
      <c r="R163" s="3">
        <v>73132</v>
      </c>
      <c r="S163" t="str">
        <f>TEXT(personal_finance_dashboard_data_200_rows[[#This Row],[Date]],"mmm")</f>
        <v>Jun</v>
      </c>
      <c r="T163">
        <f>MONTH(personal_finance_dashboard_data_200_rows[[#This Row],[Date]])</f>
        <v>6</v>
      </c>
      <c r="U163" t="str">
        <f>"Q"&amp;ROUNDUP(MONTH(personal_finance_dashboard_data_200_rows[[#This Row],[Date]])/3,0)</f>
        <v>Q2</v>
      </c>
      <c r="V163" t="s">
        <v>344</v>
      </c>
    </row>
    <row r="164" spans="1:22" x14ac:dyDescent="0.3">
      <c r="A164" t="s">
        <v>144</v>
      </c>
      <c r="B164" s="1">
        <v>46183</v>
      </c>
      <c r="C164">
        <v>2026</v>
      </c>
      <c r="D164" t="s">
        <v>19</v>
      </c>
      <c r="E164" t="s">
        <v>20</v>
      </c>
      <c r="F164" t="s">
        <v>45</v>
      </c>
      <c r="G164" t="s">
        <v>46</v>
      </c>
      <c r="H164" t="s">
        <v>68</v>
      </c>
      <c r="I164" t="s">
        <v>96</v>
      </c>
      <c r="J164" t="s">
        <v>46</v>
      </c>
      <c r="K164" s="3">
        <v>18000</v>
      </c>
      <c r="L164" s="3">
        <v>20000</v>
      </c>
      <c r="M164" s="3">
        <v>0</v>
      </c>
      <c r="N164" t="s">
        <v>97</v>
      </c>
      <c r="O164" t="s">
        <v>26</v>
      </c>
      <c r="P164" t="s">
        <v>35</v>
      </c>
      <c r="Q164" t="s">
        <v>27</v>
      </c>
      <c r="R164" s="3">
        <v>72617</v>
      </c>
      <c r="S164" t="str">
        <f>TEXT(personal_finance_dashboard_data_200_rows[[#This Row],[Date]],"mmm")</f>
        <v>Jun</v>
      </c>
      <c r="T164">
        <f>MONTH(personal_finance_dashboard_data_200_rows[[#This Row],[Date]])</f>
        <v>6</v>
      </c>
      <c r="U164" t="str">
        <f>"Q"&amp;ROUNDUP(MONTH(personal_finance_dashboard_data_200_rows[[#This Row],[Date]])/3,0)</f>
        <v>Q2</v>
      </c>
      <c r="V164" t="s">
        <v>345</v>
      </c>
    </row>
    <row r="165" spans="1:22" x14ac:dyDescent="0.3">
      <c r="A165" t="s">
        <v>186</v>
      </c>
      <c r="B165" s="1">
        <v>46183</v>
      </c>
      <c r="C165">
        <v>2026</v>
      </c>
      <c r="D165" t="s">
        <v>60</v>
      </c>
      <c r="E165" t="s">
        <v>29</v>
      </c>
      <c r="F165" t="s">
        <v>30</v>
      </c>
      <c r="G165" t="s">
        <v>31</v>
      </c>
      <c r="H165" t="s">
        <v>32</v>
      </c>
      <c r="I165" t="s">
        <v>33</v>
      </c>
      <c r="J165" t="s">
        <v>34</v>
      </c>
      <c r="K165" s="3">
        <v>55000</v>
      </c>
      <c r="L165" s="3">
        <v>0</v>
      </c>
      <c r="M165" s="3">
        <v>0</v>
      </c>
      <c r="N165" t="s">
        <v>42</v>
      </c>
      <c r="O165" t="s">
        <v>26</v>
      </c>
      <c r="P165" t="s">
        <v>35</v>
      </c>
      <c r="Q165" t="s">
        <v>35</v>
      </c>
      <c r="R165" s="3">
        <v>188863</v>
      </c>
      <c r="S165" t="str">
        <f>TEXT(personal_finance_dashboard_data_200_rows[[#This Row],[Date]],"mmm")</f>
        <v>Jun</v>
      </c>
      <c r="T165">
        <f>MONTH(personal_finance_dashboard_data_200_rows[[#This Row],[Date]])</f>
        <v>6</v>
      </c>
      <c r="U165" t="str">
        <f>"Q"&amp;ROUNDUP(MONTH(personal_finance_dashboard_data_200_rows[[#This Row],[Date]])/3,0)</f>
        <v>Q2</v>
      </c>
      <c r="V165" t="s">
        <v>342</v>
      </c>
    </row>
    <row r="166" spans="1:22" x14ac:dyDescent="0.3">
      <c r="A166" t="s">
        <v>187</v>
      </c>
      <c r="B166" s="1">
        <v>46185</v>
      </c>
      <c r="C166">
        <v>2026</v>
      </c>
      <c r="D166" t="s">
        <v>44</v>
      </c>
      <c r="E166" t="s">
        <v>20</v>
      </c>
      <c r="F166" t="s">
        <v>84</v>
      </c>
      <c r="G166" t="s">
        <v>85</v>
      </c>
      <c r="H166" t="s">
        <v>68</v>
      </c>
      <c r="I166" t="s">
        <v>86</v>
      </c>
      <c r="J166" t="s">
        <v>85</v>
      </c>
      <c r="K166" s="3">
        <v>3793</v>
      </c>
      <c r="L166" s="3">
        <v>3000</v>
      </c>
      <c r="M166" s="3">
        <v>0</v>
      </c>
      <c r="N166" t="s">
        <v>58</v>
      </c>
      <c r="O166" t="s">
        <v>26</v>
      </c>
      <c r="P166" t="s">
        <v>35</v>
      </c>
      <c r="Q166" t="s">
        <v>27</v>
      </c>
      <c r="R166" s="3">
        <v>185070</v>
      </c>
      <c r="S166" t="str">
        <f>TEXT(personal_finance_dashboard_data_200_rows[[#This Row],[Date]],"mmm")</f>
        <v>Jun</v>
      </c>
      <c r="T166">
        <f>MONTH(personal_finance_dashboard_data_200_rows[[#This Row],[Date]])</f>
        <v>6</v>
      </c>
      <c r="U166" t="str">
        <f>"Q"&amp;ROUNDUP(MONTH(personal_finance_dashboard_data_200_rows[[#This Row],[Date]])/3,0)</f>
        <v>Q2</v>
      </c>
      <c r="V166" t="s">
        <v>343</v>
      </c>
    </row>
    <row r="167" spans="1:22" x14ac:dyDescent="0.3">
      <c r="A167" t="s">
        <v>228</v>
      </c>
      <c r="B167" s="1">
        <v>46185</v>
      </c>
      <c r="C167">
        <v>2026</v>
      </c>
      <c r="D167" t="s">
        <v>44</v>
      </c>
      <c r="E167" t="s">
        <v>20</v>
      </c>
      <c r="F167" t="s">
        <v>66</v>
      </c>
      <c r="G167" t="s">
        <v>67</v>
      </c>
      <c r="H167" t="s">
        <v>68</v>
      </c>
      <c r="I167" t="s">
        <v>69</v>
      </c>
      <c r="J167" t="s">
        <v>67</v>
      </c>
      <c r="K167" s="3">
        <v>10671</v>
      </c>
      <c r="L167" s="3">
        <v>2000</v>
      </c>
      <c r="M167" s="3">
        <v>1000</v>
      </c>
      <c r="N167" t="s">
        <v>64</v>
      </c>
      <c r="O167" t="s">
        <v>26</v>
      </c>
      <c r="P167" t="s">
        <v>35</v>
      </c>
      <c r="Q167" t="s">
        <v>35</v>
      </c>
      <c r="R167" s="3">
        <v>143706</v>
      </c>
      <c r="S167" t="str">
        <f>TEXT(personal_finance_dashboard_data_200_rows[[#This Row],[Date]],"mmm")</f>
        <v>Jun</v>
      </c>
      <c r="T167">
        <f>MONTH(personal_finance_dashboard_data_200_rows[[#This Row],[Date]])</f>
        <v>6</v>
      </c>
      <c r="U167" t="str">
        <f>"Q"&amp;ROUNDUP(MONTH(personal_finance_dashboard_data_200_rows[[#This Row],[Date]])/3,0)</f>
        <v>Q2</v>
      </c>
      <c r="V167" t="s">
        <v>343</v>
      </c>
    </row>
    <row r="168" spans="1:22" x14ac:dyDescent="0.3">
      <c r="A168" t="s">
        <v>232</v>
      </c>
      <c r="B168" s="1">
        <v>46185</v>
      </c>
      <c r="C168">
        <v>2026</v>
      </c>
      <c r="D168" t="s">
        <v>44</v>
      </c>
      <c r="E168" t="s">
        <v>20</v>
      </c>
      <c r="F168" t="s">
        <v>61</v>
      </c>
      <c r="G168" t="s">
        <v>114</v>
      </c>
      <c r="H168" t="s">
        <v>40</v>
      </c>
      <c r="I168" t="s">
        <v>115</v>
      </c>
      <c r="J168" t="s">
        <v>114</v>
      </c>
      <c r="K168" s="3">
        <v>9810</v>
      </c>
      <c r="L168" s="3">
        <v>3000</v>
      </c>
      <c r="M168" s="3">
        <v>2000</v>
      </c>
      <c r="N168" t="s">
        <v>25</v>
      </c>
      <c r="O168" t="s">
        <v>26</v>
      </c>
      <c r="P168" t="s">
        <v>35</v>
      </c>
      <c r="Q168" t="s">
        <v>27</v>
      </c>
      <c r="R168" s="3">
        <v>160517</v>
      </c>
      <c r="S168" t="str">
        <f>TEXT(personal_finance_dashboard_data_200_rows[[#This Row],[Date]],"mmm")</f>
        <v>Jun</v>
      </c>
      <c r="T168">
        <f>MONTH(personal_finance_dashboard_data_200_rows[[#This Row],[Date]])</f>
        <v>6</v>
      </c>
      <c r="U168" t="str">
        <f>"Q"&amp;ROUNDUP(MONTH(personal_finance_dashboard_data_200_rows[[#This Row],[Date]])/3,0)</f>
        <v>Q2</v>
      </c>
      <c r="V168" t="s">
        <v>344</v>
      </c>
    </row>
    <row r="169" spans="1:22" x14ac:dyDescent="0.3">
      <c r="A169" t="s">
        <v>55</v>
      </c>
      <c r="B169" s="1">
        <v>46186</v>
      </c>
      <c r="C169">
        <v>2026</v>
      </c>
      <c r="D169" t="s">
        <v>44</v>
      </c>
      <c r="E169" t="s">
        <v>20</v>
      </c>
      <c r="F169" t="s">
        <v>21</v>
      </c>
      <c r="G169" t="s">
        <v>56</v>
      </c>
      <c r="H169" t="s">
        <v>52</v>
      </c>
      <c r="I169" t="s">
        <v>57</v>
      </c>
      <c r="J169" t="s">
        <v>56</v>
      </c>
      <c r="K169" s="3">
        <v>2839</v>
      </c>
      <c r="L169" s="3">
        <v>4000</v>
      </c>
      <c r="M169" s="3">
        <v>0</v>
      </c>
      <c r="N169" t="s">
        <v>58</v>
      </c>
      <c r="O169" t="s">
        <v>26</v>
      </c>
      <c r="P169" t="s">
        <v>35</v>
      </c>
      <c r="Q169" t="s">
        <v>27</v>
      </c>
      <c r="R169" s="3">
        <v>42534</v>
      </c>
      <c r="S169" t="str">
        <f>TEXT(personal_finance_dashboard_data_200_rows[[#This Row],[Date]],"mmm")</f>
        <v>Jun</v>
      </c>
      <c r="T169">
        <f>MONTH(personal_finance_dashboard_data_200_rows[[#This Row],[Date]])</f>
        <v>6</v>
      </c>
      <c r="U169" t="str">
        <f>"Q"&amp;ROUNDUP(MONTH(personal_finance_dashboard_data_200_rows[[#This Row],[Date]])/3,0)</f>
        <v>Q2</v>
      </c>
      <c r="V169" t="s">
        <v>345</v>
      </c>
    </row>
    <row r="170" spans="1:22" x14ac:dyDescent="0.3">
      <c r="A170" t="s">
        <v>18</v>
      </c>
      <c r="B170" s="1">
        <v>46187</v>
      </c>
      <c r="C170">
        <v>2026</v>
      </c>
      <c r="D170" t="s">
        <v>19</v>
      </c>
      <c r="E170" t="s">
        <v>20</v>
      </c>
      <c r="F170" t="s">
        <v>21</v>
      </c>
      <c r="G170" t="s">
        <v>22</v>
      </c>
      <c r="H170" t="s">
        <v>23</v>
      </c>
      <c r="I170" t="s">
        <v>24</v>
      </c>
      <c r="J170" t="s">
        <v>22</v>
      </c>
      <c r="K170" s="3">
        <v>5072</v>
      </c>
      <c r="L170" s="3">
        <v>4000</v>
      </c>
      <c r="M170" s="3">
        <v>2000</v>
      </c>
      <c r="N170" t="s">
        <v>25</v>
      </c>
      <c r="O170" t="s">
        <v>26</v>
      </c>
      <c r="P170" t="s">
        <v>27</v>
      </c>
      <c r="Q170" t="s">
        <v>27</v>
      </c>
      <c r="R170" s="3">
        <v>19928</v>
      </c>
      <c r="S170" t="str">
        <f>TEXT(personal_finance_dashboard_data_200_rows[[#This Row],[Date]],"mmm")</f>
        <v>Jun</v>
      </c>
      <c r="T170">
        <f>MONTH(personal_finance_dashboard_data_200_rows[[#This Row],[Date]])</f>
        <v>6</v>
      </c>
      <c r="U170" t="str">
        <f>"Q"&amp;ROUNDUP(MONTH(personal_finance_dashboard_data_200_rows[[#This Row],[Date]])/3,0)</f>
        <v>Q2</v>
      </c>
      <c r="V170" t="s">
        <v>343</v>
      </c>
    </row>
    <row r="171" spans="1:22" x14ac:dyDescent="0.3">
      <c r="A171" t="s">
        <v>113</v>
      </c>
      <c r="B171" s="1">
        <v>46187</v>
      </c>
      <c r="C171">
        <v>2026</v>
      </c>
      <c r="D171" t="s">
        <v>44</v>
      </c>
      <c r="E171" t="s">
        <v>20</v>
      </c>
      <c r="F171" t="s">
        <v>61</v>
      </c>
      <c r="G171" t="s">
        <v>114</v>
      </c>
      <c r="H171" t="s">
        <v>32</v>
      </c>
      <c r="I171" t="s">
        <v>115</v>
      </c>
      <c r="J171" t="s">
        <v>114</v>
      </c>
      <c r="K171" s="3">
        <v>816</v>
      </c>
      <c r="L171" s="3">
        <v>3000</v>
      </c>
      <c r="M171" s="3">
        <v>0</v>
      </c>
      <c r="N171" t="s">
        <v>58</v>
      </c>
      <c r="O171" t="s">
        <v>26</v>
      </c>
      <c r="P171" t="s">
        <v>27</v>
      </c>
      <c r="Q171" t="s">
        <v>27</v>
      </c>
      <c r="R171" s="3">
        <v>54096</v>
      </c>
      <c r="S171" t="str">
        <f>TEXT(personal_finance_dashboard_data_200_rows[[#This Row],[Date]],"mmm")</f>
        <v>Jun</v>
      </c>
      <c r="T171">
        <f>MONTH(personal_finance_dashboard_data_200_rows[[#This Row],[Date]])</f>
        <v>6</v>
      </c>
      <c r="U171" t="str">
        <f>"Q"&amp;ROUNDUP(MONTH(personal_finance_dashboard_data_200_rows[[#This Row],[Date]])/3,0)</f>
        <v>Q2</v>
      </c>
      <c r="V171" t="s">
        <v>345</v>
      </c>
    </row>
    <row r="172" spans="1:22" x14ac:dyDescent="0.3">
      <c r="A172" t="s">
        <v>190</v>
      </c>
      <c r="B172" s="1">
        <v>46187</v>
      </c>
      <c r="C172">
        <v>2026</v>
      </c>
      <c r="D172" t="s">
        <v>44</v>
      </c>
      <c r="E172" t="s">
        <v>20</v>
      </c>
      <c r="F172" t="s">
        <v>45</v>
      </c>
      <c r="G172" t="s">
        <v>46</v>
      </c>
      <c r="H172" t="s">
        <v>32</v>
      </c>
      <c r="I172" t="s">
        <v>47</v>
      </c>
      <c r="J172" t="s">
        <v>46</v>
      </c>
      <c r="K172" s="3">
        <v>18000</v>
      </c>
      <c r="L172" s="3">
        <v>20000</v>
      </c>
      <c r="M172" s="3">
        <v>1000</v>
      </c>
      <c r="N172" t="s">
        <v>97</v>
      </c>
      <c r="O172" t="s">
        <v>26</v>
      </c>
      <c r="P172" t="s">
        <v>35</v>
      </c>
      <c r="Q172" t="s">
        <v>27</v>
      </c>
      <c r="R172" s="3">
        <v>144993</v>
      </c>
      <c r="S172" t="str">
        <f>TEXT(personal_finance_dashboard_data_200_rows[[#This Row],[Date]],"mmm")</f>
        <v>Jun</v>
      </c>
      <c r="T172">
        <f>MONTH(personal_finance_dashboard_data_200_rows[[#This Row],[Date]])</f>
        <v>6</v>
      </c>
      <c r="U172" t="str">
        <f>"Q"&amp;ROUNDUP(MONTH(personal_finance_dashboard_data_200_rows[[#This Row],[Date]])/3,0)</f>
        <v>Q2</v>
      </c>
      <c r="V172" t="s">
        <v>343</v>
      </c>
    </row>
    <row r="173" spans="1:22" x14ac:dyDescent="0.3">
      <c r="A173" t="s">
        <v>191</v>
      </c>
      <c r="B173" s="1">
        <v>46187</v>
      </c>
      <c r="C173">
        <v>2026</v>
      </c>
      <c r="D173" t="s">
        <v>60</v>
      </c>
      <c r="E173" t="s">
        <v>20</v>
      </c>
      <c r="F173" t="s">
        <v>38</v>
      </c>
      <c r="G173" t="s">
        <v>39</v>
      </c>
      <c r="H173" t="s">
        <v>68</v>
      </c>
      <c r="I173" t="s">
        <v>41</v>
      </c>
      <c r="J173" t="s">
        <v>39</v>
      </c>
      <c r="K173" s="3">
        <v>13105</v>
      </c>
      <c r="L173" s="3">
        <v>8000</v>
      </c>
      <c r="M173" s="3">
        <v>0</v>
      </c>
      <c r="N173" t="s">
        <v>42</v>
      </c>
      <c r="O173" t="s">
        <v>26</v>
      </c>
      <c r="P173" t="s">
        <v>27</v>
      </c>
      <c r="Q173" t="s">
        <v>35</v>
      </c>
      <c r="R173" s="3">
        <v>131888</v>
      </c>
      <c r="S173" t="str">
        <f>TEXT(personal_finance_dashboard_data_200_rows[[#This Row],[Date]],"mmm")</f>
        <v>Jun</v>
      </c>
      <c r="T173">
        <f>MONTH(personal_finance_dashboard_data_200_rows[[#This Row],[Date]])</f>
        <v>6</v>
      </c>
      <c r="U173" t="str">
        <f>"Q"&amp;ROUNDUP(MONTH(personal_finance_dashboard_data_200_rows[[#This Row],[Date]])/3,0)</f>
        <v>Q2</v>
      </c>
      <c r="V173" t="s">
        <v>343</v>
      </c>
    </row>
    <row r="174" spans="1:22" x14ac:dyDescent="0.3">
      <c r="A174" t="s">
        <v>267</v>
      </c>
      <c r="B174" s="1">
        <v>46188</v>
      </c>
      <c r="C174">
        <v>2026</v>
      </c>
      <c r="D174" t="s">
        <v>44</v>
      </c>
      <c r="E174" t="s">
        <v>29</v>
      </c>
      <c r="F174" t="s">
        <v>50</v>
      </c>
      <c r="G174" t="s">
        <v>51</v>
      </c>
      <c r="H174" t="s">
        <v>100</v>
      </c>
      <c r="I174" t="s">
        <v>53</v>
      </c>
      <c r="J174" t="s">
        <v>54</v>
      </c>
      <c r="K174" s="3">
        <v>15000</v>
      </c>
      <c r="L174" s="3">
        <v>0</v>
      </c>
      <c r="M174" s="3">
        <v>5000</v>
      </c>
      <c r="N174" t="s">
        <v>42</v>
      </c>
      <c r="O174" t="s">
        <v>26</v>
      </c>
      <c r="P174" t="s">
        <v>35</v>
      </c>
      <c r="Q174" t="s">
        <v>35</v>
      </c>
      <c r="R174" s="3">
        <v>128116</v>
      </c>
      <c r="S174" t="str">
        <f>TEXT(personal_finance_dashboard_data_200_rows[[#This Row],[Date]],"mmm")</f>
        <v>Jun</v>
      </c>
      <c r="T174">
        <f>MONTH(personal_finance_dashboard_data_200_rows[[#This Row],[Date]])</f>
        <v>6</v>
      </c>
      <c r="U174" t="str">
        <f>"Q"&amp;ROUNDUP(MONTH(personal_finance_dashboard_data_200_rows[[#This Row],[Date]])/3,0)</f>
        <v>Q2</v>
      </c>
      <c r="V174" t="s">
        <v>342</v>
      </c>
    </row>
    <row r="175" spans="1:22" x14ac:dyDescent="0.3">
      <c r="A175" t="s">
        <v>157</v>
      </c>
      <c r="B175" s="1">
        <v>46189</v>
      </c>
      <c r="C175">
        <v>2026</v>
      </c>
      <c r="D175" t="s">
        <v>60</v>
      </c>
      <c r="E175" t="s">
        <v>20</v>
      </c>
      <c r="F175" t="s">
        <v>74</v>
      </c>
      <c r="G175" t="s">
        <v>88</v>
      </c>
      <c r="H175" t="s">
        <v>68</v>
      </c>
      <c r="I175" t="s">
        <v>158</v>
      </c>
      <c r="J175" t="s">
        <v>88</v>
      </c>
      <c r="K175" s="3">
        <v>7761</v>
      </c>
      <c r="L175" s="3">
        <v>10000</v>
      </c>
      <c r="M175" s="3">
        <v>0</v>
      </c>
      <c r="N175" t="s">
        <v>97</v>
      </c>
      <c r="O175" t="s">
        <v>26</v>
      </c>
      <c r="P175" t="s">
        <v>35</v>
      </c>
      <c r="Q175" t="s">
        <v>27</v>
      </c>
      <c r="R175" s="3">
        <v>57212</v>
      </c>
      <c r="S175" t="str">
        <f>TEXT(personal_finance_dashboard_data_200_rows[[#This Row],[Date]],"mmm")</f>
        <v>Jun</v>
      </c>
      <c r="T175">
        <f>MONTH(personal_finance_dashboard_data_200_rows[[#This Row],[Date]])</f>
        <v>6</v>
      </c>
      <c r="U175" t="str">
        <f>"Q"&amp;ROUNDUP(MONTH(personal_finance_dashboard_data_200_rows[[#This Row],[Date]])/3,0)</f>
        <v>Q2</v>
      </c>
      <c r="V175" t="s">
        <v>345</v>
      </c>
    </row>
    <row r="176" spans="1:22" x14ac:dyDescent="0.3">
      <c r="A176" t="s">
        <v>198</v>
      </c>
      <c r="B176" s="1">
        <v>46189</v>
      </c>
      <c r="C176">
        <v>2026</v>
      </c>
      <c r="D176" t="s">
        <v>19</v>
      </c>
      <c r="E176" t="s">
        <v>20</v>
      </c>
      <c r="F176" t="s">
        <v>38</v>
      </c>
      <c r="G176" t="s">
        <v>71</v>
      </c>
      <c r="H176" t="s">
        <v>32</v>
      </c>
      <c r="I176" t="s">
        <v>72</v>
      </c>
      <c r="J176" t="s">
        <v>71</v>
      </c>
      <c r="K176" s="3">
        <v>13879</v>
      </c>
      <c r="L176" s="3">
        <v>8000</v>
      </c>
      <c r="M176" s="3">
        <v>0</v>
      </c>
      <c r="N176" t="s">
        <v>42</v>
      </c>
      <c r="O176" t="s">
        <v>26</v>
      </c>
      <c r="P176" t="s">
        <v>27</v>
      </c>
      <c r="Q176" t="s">
        <v>35</v>
      </c>
      <c r="R176" s="3">
        <v>84838</v>
      </c>
      <c r="S176" t="str">
        <f>TEXT(personal_finance_dashboard_data_200_rows[[#This Row],[Date]],"mmm")</f>
        <v>Jun</v>
      </c>
      <c r="T176">
        <f>MONTH(personal_finance_dashboard_data_200_rows[[#This Row],[Date]])</f>
        <v>6</v>
      </c>
      <c r="U176" t="str">
        <f>"Q"&amp;ROUNDUP(MONTH(personal_finance_dashboard_data_200_rows[[#This Row],[Date]])/3,0)</f>
        <v>Q2</v>
      </c>
      <c r="V176" t="s">
        <v>342</v>
      </c>
    </row>
    <row r="177" spans="1:22" x14ac:dyDescent="0.3">
      <c r="A177" t="s">
        <v>288</v>
      </c>
      <c r="B177" s="1">
        <v>46190</v>
      </c>
      <c r="C177">
        <v>2026</v>
      </c>
      <c r="D177" t="s">
        <v>37</v>
      </c>
      <c r="E177" t="s">
        <v>20</v>
      </c>
      <c r="F177" t="s">
        <v>45</v>
      </c>
      <c r="G177" t="s">
        <v>46</v>
      </c>
      <c r="H177" t="s">
        <v>32</v>
      </c>
      <c r="I177" t="s">
        <v>47</v>
      </c>
      <c r="J177" t="s">
        <v>46</v>
      </c>
      <c r="K177" s="3">
        <v>18000</v>
      </c>
      <c r="L177" s="3">
        <v>20000</v>
      </c>
      <c r="M177" s="3">
        <v>1000</v>
      </c>
      <c r="N177" t="s">
        <v>48</v>
      </c>
      <c r="O177" t="s">
        <v>26</v>
      </c>
      <c r="P177" t="s">
        <v>35</v>
      </c>
      <c r="Q177" t="s">
        <v>27</v>
      </c>
      <c r="R177" s="3">
        <v>44823</v>
      </c>
      <c r="S177" t="str">
        <f>TEXT(personal_finance_dashboard_data_200_rows[[#This Row],[Date]],"mmm")</f>
        <v>Jun</v>
      </c>
      <c r="T177">
        <f>MONTH(personal_finance_dashboard_data_200_rows[[#This Row],[Date]])</f>
        <v>6</v>
      </c>
      <c r="U177" t="str">
        <f>"Q"&amp;ROUNDUP(MONTH(personal_finance_dashboard_data_200_rows[[#This Row],[Date]])/3,0)</f>
        <v>Q2</v>
      </c>
      <c r="V177" t="s">
        <v>345</v>
      </c>
    </row>
    <row r="178" spans="1:22" x14ac:dyDescent="0.3">
      <c r="A178" t="s">
        <v>211</v>
      </c>
      <c r="B178" s="1">
        <v>46191</v>
      </c>
      <c r="C178">
        <v>2026</v>
      </c>
      <c r="D178" t="s">
        <v>37</v>
      </c>
      <c r="E178" t="s">
        <v>20</v>
      </c>
      <c r="F178" t="s">
        <v>21</v>
      </c>
      <c r="G178" t="s">
        <v>56</v>
      </c>
      <c r="H178" t="s">
        <v>68</v>
      </c>
      <c r="I178" t="s">
        <v>57</v>
      </c>
      <c r="J178" t="s">
        <v>56</v>
      </c>
      <c r="K178" s="3">
        <v>11606</v>
      </c>
      <c r="L178" s="3">
        <v>4000</v>
      </c>
      <c r="M178" s="3">
        <v>1000</v>
      </c>
      <c r="N178" t="s">
        <v>97</v>
      </c>
      <c r="O178" t="s">
        <v>26</v>
      </c>
      <c r="P178" t="s">
        <v>27</v>
      </c>
      <c r="Q178" t="s">
        <v>27</v>
      </c>
      <c r="R178" s="3">
        <v>2476</v>
      </c>
      <c r="S178" t="str">
        <f>TEXT(personal_finance_dashboard_data_200_rows[[#This Row],[Date]],"mmm")</f>
        <v>Jun</v>
      </c>
      <c r="T178">
        <f>MONTH(personal_finance_dashboard_data_200_rows[[#This Row],[Date]])</f>
        <v>6</v>
      </c>
      <c r="U178" t="str">
        <f>"Q"&amp;ROUNDUP(MONTH(personal_finance_dashboard_data_200_rows[[#This Row],[Date]])/3,0)</f>
        <v>Q2</v>
      </c>
      <c r="V178" t="s">
        <v>345</v>
      </c>
    </row>
    <row r="179" spans="1:22" x14ac:dyDescent="0.3">
      <c r="A179" t="s">
        <v>279</v>
      </c>
      <c r="B179" s="1">
        <v>46191</v>
      </c>
      <c r="C179">
        <v>2026</v>
      </c>
      <c r="D179" t="s">
        <v>37</v>
      </c>
      <c r="E179" t="s">
        <v>29</v>
      </c>
      <c r="F179" t="s">
        <v>30</v>
      </c>
      <c r="G179" t="s">
        <v>31</v>
      </c>
      <c r="H179" t="s">
        <v>52</v>
      </c>
      <c r="I179" t="s">
        <v>33</v>
      </c>
      <c r="J179" t="s">
        <v>34</v>
      </c>
      <c r="K179" s="3">
        <v>50000</v>
      </c>
      <c r="L179" s="3">
        <v>0</v>
      </c>
      <c r="M179" s="3">
        <v>0</v>
      </c>
      <c r="N179" t="s">
        <v>42</v>
      </c>
      <c r="O179" t="s">
        <v>26</v>
      </c>
      <c r="P179" t="s">
        <v>35</v>
      </c>
      <c r="Q179" t="s">
        <v>35</v>
      </c>
      <c r="R179" s="3">
        <v>47771</v>
      </c>
      <c r="S179" t="str">
        <f>TEXT(personal_finance_dashboard_data_200_rows[[#This Row],[Date]],"mmm")</f>
        <v>Jun</v>
      </c>
      <c r="T179">
        <f>MONTH(personal_finance_dashboard_data_200_rows[[#This Row],[Date]])</f>
        <v>6</v>
      </c>
      <c r="U179" t="str">
        <f>"Q"&amp;ROUNDUP(MONTH(personal_finance_dashboard_data_200_rows[[#This Row],[Date]])/3,0)</f>
        <v>Q2</v>
      </c>
      <c r="V179" t="s">
        <v>344</v>
      </c>
    </row>
    <row r="180" spans="1:22" x14ac:dyDescent="0.3">
      <c r="A180" t="s">
        <v>285</v>
      </c>
      <c r="B180" s="1">
        <v>46191</v>
      </c>
      <c r="C180">
        <v>2026</v>
      </c>
      <c r="D180" t="s">
        <v>44</v>
      </c>
      <c r="E180" t="s">
        <v>20</v>
      </c>
      <c r="F180" t="s">
        <v>21</v>
      </c>
      <c r="G180" t="s">
        <v>56</v>
      </c>
      <c r="H180" t="s">
        <v>100</v>
      </c>
      <c r="I180" t="s">
        <v>57</v>
      </c>
      <c r="J180" t="s">
        <v>56</v>
      </c>
      <c r="K180" s="3">
        <v>9400</v>
      </c>
      <c r="L180" s="3">
        <v>4000</v>
      </c>
      <c r="M180" s="3">
        <v>2000</v>
      </c>
      <c r="N180" t="s">
        <v>42</v>
      </c>
      <c r="O180" t="s">
        <v>26</v>
      </c>
      <c r="P180" t="s">
        <v>27</v>
      </c>
      <c r="Q180" t="s">
        <v>27</v>
      </c>
      <c r="R180" s="3">
        <v>81181</v>
      </c>
      <c r="S180" t="str">
        <f>TEXT(personal_finance_dashboard_data_200_rows[[#This Row],[Date]],"mmm")</f>
        <v>Jun</v>
      </c>
      <c r="T180">
        <f>MONTH(personal_finance_dashboard_data_200_rows[[#This Row],[Date]])</f>
        <v>6</v>
      </c>
      <c r="U180" t="str">
        <f>"Q"&amp;ROUNDUP(MONTH(personal_finance_dashboard_data_200_rows[[#This Row],[Date]])/3,0)</f>
        <v>Q2</v>
      </c>
      <c r="V180" t="s">
        <v>342</v>
      </c>
    </row>
    <row r="181" spans="1:22" x14ac:dyDescent="0.3">
      <c r="A181" t="s">
        <v>132</v>
      </c>
      <c r="B181" s="1">
        <v>46192</v>
      </c>
      <c r="C181">
        <v>2026</v>
      </c>
      <c r="D181" t="s">
        <v>19</v>
      </c>
      <c r="E181" t="s">
        <v>20</v>
      </c>
      <c r="F181" t="s">
        <v>66</v>
      </c>
      <c r="G181" t="s">
        <v>67</v>
      </c>
      <c r="H181" t="s">
        <v>23</v>
      </c>
      <c r="I181" t="s">
        <v>69</v>
      </c>
      <c r="J181" t="s">
        <v>67</v>
      </c>
      <c r="K181" s="3">
        <v>8196</v>
      </c>
      <c r="L181" s="3">
        <v>2000</v>
      </c>
      <c r="M181" s="3">
        <v>500</v>
      </c>
      <c r="N181" t="s">
        <v>64</v>
      </c>
      <c r="O181" t="s">
        <v>26</v>
      </c>
      <c r="P181" t="s">
        <v>35</v>
      </c>
      <c r="Q181" t="s">
        <v>35</v>
      </c>
      <c r="R181" s="3">
        <v>178529</v>
      </c>
      <c r="S181" t="str">
        <f>TEXT(personal_finance_dashboard_data_200_rows[[#This Row],[Date]],"mmm")</f>
        <v>Jun</v>
      </c>
      <c r="T181">
        <f>MONTH(personal_finance_dashboard_data_200_rows[[#This Row],[Date]])</f>
        <v>6</v>
      </c>
      <c r="U181" t="str">
        <f>"Q"&amp;ROUNDUP(MONTH(personal_finance_dashboard_data_200_rows[[#This Row],[Date]])/3,0)</f>
        <v>Q2</v>
      </c>
      <c r="V181" t="s">
        <v>344</v>
      </c>
    </row>
    <row r="182" spans="1:22" x14ac:dyDescent="0.3">
      <c r="A182" t="s">
        <v>247</v>
      </c>
      <c r="B182" s="1">
        <v>46192</v>
      </c>
      <c r="C182">
        <v>2026</v>
      </c>
      <c r="D182" t="s">
        <v>19</v>
      </c>
      <c r="E182" t="s">
        <v>20</v>
      </c>
      <c r="F182" t="s">
        <v>66</v>
      </c>
      <c r="G182" t="s">
        <v>67</v>
      </c>
      <c r="H182" t="s">
        <v>40</v>
      </c>
      <c r="I182" t="s">
        <v>127</v>
      </c>
      <c r="J182" t="s">
        <v>67</v>
      </c>
      <c r="K182" s="3">
        <v>1952</v>
      </c>
      <c r="L182" s="3">
        <v>2000</v>
      </c>
      <c r="M182" s="3">
        <v>2000</v>
      </c>
      <c r="N182" t="s">
        <v>48</v>
      </c>
      <c r="O182" t="s">
        <v>26</v>
      </c>
      <c r="P182" t="s">
        <v>35</v>
      </c>
      <c r="Q182" t="s">
        <v>27</v>
      </c>
      <c r="R182" s="3">
        <v>208739</v>
      </c>
      <c r="S182" t="str">
        <f>TEXT(personal_finance_dashboard_data_200_rows[[#This Row],[Date]],"mmm")</f>
        <v>Jun</v>
      </c>
      <c r="T182">
        <f>MONTH(personal_finance_dashboard_data_200_rows[[#This Row],[Date]])</f>
        <v>6</v>
      </c>
      <c r="U182" t="str">
        <f>"Q"&amp;ROUNDUP(MONTH(personal_finance_dashboard_data_200_rows[[#This Row],[Date]])/3,0)</f>
        <v>Q2</v>
      </c>
      <c r="V182" t="s">
        <v>342</v>
      </c>
    </row>
    <row r="183" spans="1:22" x14ac:dyDescent="0.3">
      <c r="A183" t="s">
        <v>175</v>
      </c>
      <c r="B183" s="1">
        <v>46193</v>
      </c>
      <c r="C183">
        <v>2026</v>
      </c>
      <c r="D183" t="s">
        <v>60</v>
      </c>
      <c r="E183" t="s">
        <v>29</v>
      </c>
      <c r="F183" t="s">
        <v>30</v>
      </c>
      <c r="G183" t="s">
        <v>31</v>
      </c>
      <c r="H183" t="s">
        <v>23</v>
      </c>
      <c r="I183" t="s">
        <v>33</v>
      </c>
      <c r="J183" t="s">
        <v>34</v>
      </c>
      <c r="K183" s="3">
        <v>55000</v>
      </c>
      <c r="L183" s="3">
        <v>0</v>
      </c>
      <c r="M183" s="3">
        <v>10000</v>
      </c>
      <c r="N183" t="s">
        <v>48</v>
      </c>
      <c r="O183" t="s">
        <v>26</v>
      </c>
      <c r="P183" t="s">
        <v>35</v>
      </c>
      <c r="Q183" t="s">
        <v>35</v>
      </c>
      <c r="R183" s="3">
        <v>210033</v>
      </c>
      <c r="S183" t="str">
        <f>TEXT(personal_finance_dashboard_data_200_rows[[#This Row],[Date]],"mmm")</f>
        <v>Jun</v>
      </c>
      <c r="T183">
        <f>MONTH(personal_finance_dashboard_data_200_rows[[#This Row],[Date]])</f>
        <v>6</v>
      </c>
      <c r="U183" t="str">
        <f>"Q"&amp;ROUNDUP(MONTH(personal_finance_dashboard_data_200_rows[[#This Row],[Date]])/3,0)</f>
        <v>Q2</v>
      </c>
      <c r="V183" t="s">
        <v>342</v>
      </c>
    </row>
    <row r="184" spans="1:22" x14ac:dyDescent="0.3">
      <c r="A184" t="s">
        <v>237</v>
      </c>
      <c r="B184" s="1">
        <v>46193</v>
      </c>
      <c r="C184">
        <v>2026</v>
      </c>
      <c r="D184" t="s">
        <v>44</v>
      </c>
      <c r="E184" t="s">
        <v>29</v>
      </c>
      <c r="F184" t="s">
        <v>30</v>
      </c>
      <c r="G184" t="s">
        <v>31</v>
      </c>
      <c r="H184" t="s">
        <v>52</v>
      </c>
      <c r="I184" t="s">
        <v>33</v>
      </c>
      <c r="J184" t="s">
        <v>34</v>
      </c>
      <c r="K184" s="3">
        <v>50000</v>
      </c>
      <c r="L184" s="3">
        <v>0</v>
      </c>
      <c r="M184" s="3">
        <v>10000</v>
      </c>
      <c r="N184" t="s">
        <v>48</v>
      </c>
      <c r="O184" t="s">
        <v>26</v>
      </c>
      <c r="P184" t="s">
        <v>35</v>
      </c>
      <c r="Q184" t="s">
        <v>35</v>
      </c>
      <c r="R184" s="3">
        <v>195952</v>
      </c>
      <c r="S184" t="str">
        <f>TEXT(personal_finance_dashboard_data_200_rows[[#This Row],[Date]],"mmm")</f>
        <v>Jun</v>
      </c>
      <c r="T184">
        <f>MONTH(personal_finance_dashboard_data_200_rows[[#This Row],[Date]])</f>
        <v>6</v>
      </c>
      <c r="U184" t="str">
        <f>"Q"&amp;ROUNDUP(MONTH(personal_finance_dashboard_data_200_rows[[#This Row],[Date]])/3,0)</f>
        <v>Q2</v>
      </c>
      <c r="V184" t="s">
        <v>341</v>
      </c>
    </row>
    <row r="185" spans="1:22" x14ac:dyDescent="0.3">
      <c r="A185" t="s">
        <v>91</v>
      </c>
      <c r="B185" s="1">
        <v>46195</v>
      </c>
      <c r="C185">
        <v>2026</v>
      </c>
      <c r="D185" t="s">
        <v>60</v>
      </c>
      <c r="E185" t="s">
        <v>20</v>
      </c>
      <c r="F185" t="s">
        <v>92</v>
      </c>
      <c r="G185" t="s">
        <v>93</v>
      </c>
      <c r="H185" t="s">
        <v>68</v>
      </c>
      <c r="I185" t="s">
        <v>94</v>
      </c>
      <c r="J185" t="s">
        <v>93</v>
      </c>
      <c r="K185" s="3">
        <v>15998</v>
      </c>
      <c r="L185" s="3">
        <v>5000</v>
      </c>
      <c r="M185" s="3">
        <v>0</v>
      </c>
      <c r="N185" t="s">
        <v>58</v>
      </c>
      <c r="O185" t="s">
        <v>26</v>
      </c>
      <c r="P185" t="s">
        <v>27</v>
      </c>
      <c r="Q185" t="s">
        <v>27</v>
      </c>
      <c r="R185" s="3">
        <v>-69689</v>
      </c>
      <c r="S185" t="str">
        <f>TEXT(personal_finance_dashboard_data_200_rows[[#This Row],[Date]],"mmm")</f>
        <v>Jun</v>
      </c>
      <c r="T185">
        <f>MONTH(personal_finance_dashboard_data_200_rows[[#This Row],[Date]])</f>
        <v>6</v>
      </c>
      <c r="U185" t="str">
        <f>"Q"&amp;ROUNDUP(MONTH(personal_finance_dashboard_data_200_rows[[#This Row],[Date]])/3,0)</f>
        <v>Q2</v>
      </c>
      <c r="V185" t="s">
        <v>342</v>
      </c>
    </row>
    <row r="186" spans="1:22" x14ac:dyDescent="0.3">
      <c r="A186" t="s">
        <v>119</v>
      </c>
      <c r="B186" s="1">
        <v>46195</v>
      </c>
      <c r="C186">
        <v>2026</v>
      </c>
      <c r="D186" t="s">
        <v>37</v>
      </c>
      <c r="E186" t="s">
        <v>29</v>
      </c>
      <c r="F186" t="s">
        <v>50</v>
      </c>
      <c r="G186" t="s">
        <v>51</v>
      </c>
      <c r="H186" t="s">
        <v>32</v>
      </c>
      <c r="I186" t="s">
        <v>53</v>
      </c>
      <c r="J186" t="s">
        <v>54</v>
      </c>
      <c r="K186" s="3">
        <v>5000</v>
      </c>
      <c r="L186" s="3">
        <v>0</v>
      </c>
      <c r="M186" s="3">
        <v>2000</v>
      </c>
      <c r="N186" t="s">
        <v>64</v>
      </c>
      <c r="O186" t="s">
        <v>26</v>
      </c>
      <c r="P186" t="s">
        <v>27</v>
      </c>
      <c r="Q186" t="s">
        <v>27</v>
      </c>
      <c r="R186" s="3">
        <v>107795</v>
      </c>
      <c r="S186" t="str">
        <f>TEXT(personal_finance_dashboard_data_200_rows[[#This Row],[Date]],"mmm")</f>
        <v>Jun</v>
      </c>
      <c r="T186">
        <f>MONTH(personal_finance_dashboard_data_200_rows[[#This Row],[Date]])</f>
        <v>6</v>
      </c>
      <c r="U186" t="str">
        <f>"Q"&amp;ROUNDUP(MONTH(personal_finance_dashboard_data_200_rows[[#This Row],[Date]])/3,0)</f>
        <v>Q2</v>
      </c>
      <c r="V186" t="s">
        <v>345</v>
      </c>
    </row>
    <row r="187" spans="1:22" x14ac:dyDescent="0.3">
      <c r="A187" t="s">
        <v>173</v>
      </c>
      <c r="B187" s="1">
        <v>46196</v>
      </c>
      <c r="C187">
        <v>2026</v>
      </c>
      <c r="D187" t="s">
        <v>19</v>
      </c>
      <c r="E187" t="s">
        <v>20</v>
      </c>
      <c r="F187" t="s">
        <v>45</v>
      </c>
      <c r="G187" t="s">
        <v>46</v>
      </c>
      <c r="H187" t="s">
        <v>40</v>
      </c>
      <c r="I187" t="s">
        <v>47</v>
      </c>
      <c r="J187" t="s">
        <v>46</v>
      </c>
      <c r="K187" s="3">
        <v>22000</v>
      </c>
      <c r="L187" s="3">
        <v>20000</v>
      </c>
      <c r="M187" s="3">
        <v>0</v>
      </c>
      <c r="N187" t="s">
        <v>42</v>
      </c>
      <c r="O187" t="s">
        <v>26</v>
      </c>
      <c r="P187" t="s">
        <v>35</v>
      </c>
      <c r="Q187" t="s">
        <v>27</v>
      </c>
      <c r="R187" s="3">
        <v>160802</v>
      </c>
      <c r="S187" t="str">
        <f>TEXT(personal_finance_dashboard_data_200_rows[[#This Row],[Date]],"mmm")</f>
        <v>Jun</v>
      </c>
      <c r="T187">
        <f>MONTH(personal_finance_dashboard_data_200_rows[[#This Row],[Date]])</f>
        <v>6</v>
      </c>
      <c r="U187" t="str">
        <f>"Q"&amp;ROUNDUP(MONTH(personal_finance_dashboard_data_200_rows[[#This Row],[Date]])/3,0)</f>
        <v>Q2</v>
      </c>
      <c r="V187" t="s">
        <v>343</v>
      </c>
    </row>
    <row r="188" spans="1:22" x14ac:dyDescent="0.3">
      <c r="A188" t="s">
        <v>197</v>
      </c>
      <c r="B188" s="1">
        <v>46196</v>
      </c>
      <c r="C188">
        <v>2026</v>
      </c>
      <c r="D188" t="s">
        <v>44</v>
      </c>
      <c r="E188" t="s">
        <v>20</v>
      </c>
      <c r="F188" t="s">
        <v>66</v>
      </c>
      <c r="G188" t="s">
        <v>67</v>
      </c>
      <c r="H188" t="s">
        <v>68</v>
      </c>
      <c r="I188" t="s">
        <v>127</v>
      </c>
      <c r="J188" t="s">
        <v>67</v>
      </c>
      <c r="K188" s="3">
        <v>8161</v>
      </c>
      <c r="L188" s="3">
        <v>2000</v>
      </c>
      <c r="M188" s="3">
        <v>0</v>
      </c>
      <c r="N188" t="s">
        <v>48</v>
      </c>
      <c r="O188" t="s">
        <v>26</v>
      </c>
      <c r="P188" t="s">
        <v>35</v>
      </c>
      <c r="Q188" t="s">
        <v>35</v>
      </c>
      <c r="R188" s="3">
        <v>98717</v>
      </c>
      <c r="S188" t="str">
        <f>TEXT(personal_finance_dashboard_data_200_rows[[#This Row],[Date]],"mmm")</f>
        <v>Jun</v>
      </c>
      <c r="T188">
        <f>MONTH(personal_finance_dashboard_data_200_rows[[#This Row],[Date]])</f>
        <v>6</v>
      </c>
      <c r="U188" t="str">
        <f>"Q"&amp;ROUNDUP(MONTH(personal_finance_dashboard_data_200_rows[[#This Row],[Date]])/3,0)</f>
        <v>Q2</v>
      </c>
      <c r="V188" t="s">
        <v>343</v>
      </c>
    </row>
    <row r="189" spans="1:22" x14ac:dyDescent="0.3">
      <c r="A189" t="s">
        <v>121</v>
      </c>
      <c r="B189" s="1">
        <v>46197</v>
      </c>
      <c r="C189">
        <v>2026</v>
      </c>
      <c r="D189" t="s">
        <v>44</v>
      </c>
      <c r="E189" t="s">
        <v>29</v>
      </c>
      <c r="F189" t="s">
        <v>122</v>
      </c>
      <c r="G189" t="s">
        <v>122</v>
      </c>
      <c r="H189" t="s">
        <v>23</v>
      </c>
      <c r="I189" t="s">
        <v>123</v>
      </c>
      <c r="J189" t="s">
        <v>124</v>
      </c>
      <c r="K189" s="3">
        <v>1200</v>
      </c>
      <c r="L189" s="3">
        <v>0</v>
      </c>
      <c r="M189" s="3">
        <v>10000</v>
      </c>
      <c r="N189" t="s">
        <v>25</v>
      </c>
      <c r="O189" t="s">
        <v>26</v>
      </c>
      <c r="P189" t="s">
        <v>27</v>
      </c>
      <c r="Q189" t="s">
        <v>27</v>
      </c>
      <c r="R189" s="3">
        <v>163995</v>
      </c>
      <c r="S189" t="str">
        <f>TEXT(personal_finance_dashboard_data_200_rows[[#This Row],[Date]],"mmm")</f>
        <v>Jun</v>
      </c>
      <c r="T189">
        <f>MONTH(personal_finance_dashboard_data_200_rows[[#This Row],[Date]])</f>
        <v>6</v>
      </c>
      <c r="U189" t="str">
        <f>"Q"&amp;ROUNDUP(MONTH(personal_finance_dashboard_data_200_rows[[#This Row],[Date]])/3,0)</f>
        <v>Q2</v>
      </c>
      <c r="V189" t="s">
        <v>342</v>
      </c>
    </row>
    <row r="190" spans="1:22" x14ac:dyDescent="0.3">
      <c r="A190" t="s">
        <v>196</v>
      </c>
      <c r="B190" s="1">
        <v>46197</v>
      </c>
      <c r="C190">
        <v>2026</v>
      </c>
      <c r="D190" t="s">
        <v>60</v>
      </c>
      <c r="E190" t="s">
        <v>20</v>
      </c>
      <c r="F190" t="s">
        <v>84</v>
      </c>
      <c r="G190" t="s">
        <v>85</v>
      </c>
      <c r="H190" t="s">
        <v>52</v>
      </c>
      <c r="I190" t="s">
        <v>86</v>
      </c>
      <c r="J190" t="s">
        <v>85</v>
      </c>
      <c r="K190" s="3">
        <v>9165</v>
      </c>
      <c r="L190" s="3">
        <v>3000</v>
      </c>
      <c r="M190" s="3">
        <v>0</v>
      </c>
      <c r="N190" t="s">
        <v>48</v>
      </c>
      <c r="O190" t="s">
        <v>26</v>
      </c>
      <c r="P190" t="s">
        <v>35</v>
      </c>
      <c r="Q190" t="s">
        <v>27</v>
      </c>
      <c r="R190" s="3">
        <v>106878</v>
      </c>
      <c r="S190" t="str">
        <f>TEXT(personal_finance_dashboard_data_200_rows[[#This Row],[Date]],"mmm")</f>
        <v>Jun</v>
      </c>
      <c r="T190">
        <f>MONTH(personal_finance_dashboard_data_200_rows[[#This Row],[Date]])</f>
        <v>6</v>
      </c>
      <c r="U190" t="str">
        <f>"Q"&amp;ROUNDUP(MONTH(personal_finance_dashboard_data_200_rows[[#This Row],[Date]])/3,0)</f>
        <v>Q2</v>
      </c>
      <c r="V190" t="s">
        <v>342</v>
      </c>
    </row>
    <row r="191" spans="1:22" x14ac:dyDescent="0.3">
      <c r="A191" t="s">
        <v>239</v>
      </c>
      <c r="B191" s="1">
        <v>46197</v>
      </c>
      <c r="C191">
        <v>2026</v>
      </c>
      <c r="D191" t="s">
        <v>60</v>
      </c>
      <c r="E191" t="s">
        <v>20</v>
      </c>
      <c r="F191" t="s">
        <v>84</v>
      </c>
      <c r="G191" t="s">
        <v>85</v>
      </c>
      <c r="H191" t="s">
        <v>100</v>
      </c>
      <c r="I191" t="s">
        <v>86</v>
      </c>
      <c r="J191" t="s">
        <v>85</v>
      </c>
      <c r="K191" s="3">
        <v>5810</v>
      </c>
      <c r="L191" s="3">
        <v>3000</v>
      </c>
      <c r="M191" s="3">
        <v>2000</v>
      </c>
      <c r="N191" t="s">
        <v>97</v>
      </c>
      <c r="O191" t="s">
        <v>26</v>
      </c>
      <c r="P191" t="s">
        <v>35</v>
      </c>
      <c r="Q191" t="s">
        <v>27</v>
      </c>
      <c r="R191" s="3">
        <v>172144</v>
      </c>
      <c r="S191" t="str">
        <f>TEXT(personal_finance_dashboard_data_200_rows[[#This Row],[Date]],"mmm")</f>
        <v>Jun</v>
      </c>
      <c r="T191">
        <f>MONTH(personal_finance_dashboard_data_200_rows[[#This Row],[Date]])</f>
        <v>6</v>
      </c>
      <c r="U191" t="str">
        <f>"Q"&amp;ROUNDUP(MONTH(personal_finance_dashboard_data_200_rows[[#This Row],[Date]])/3,0)</f>
        <v>Q2</v>
      </c>
      <c r="V191" t="s">
        <v>343</v>
      </c>
    </row>
    <row r="192" spans="1:22" x14ac:dyDescent="0.3">
      <c r="A192" t="s">
        <v>299</v>
      </c>
      <c r="B192" s="1">
        <v>46198</v>
      </c>
      <c r="C192">
        <v>2026</v>
      </c>
      <c r="D192" t="s">
        <v>37</v>
      </c>
      <c r="E192" t="s">
        <v>20</v>
      </c>
      <c r="F192" t="s">
        <v>74</v>
      </c>
      <c r="G192" t="s">
        <v>166</v>
      </c>
      <c r="H192" t="s">
        <v>68</v>
      </c>
      <c r="I192" t="s">
        <v>167</v>
      </c>
      <c r="J192" t="s">
        <v>166</v>
      </c>
      <c r="K192" s="3">
        <v>2323</v>
      </c>
      <c r="L192" s="3">
        <v>10000</v>
      </c>
      <c r="M192" s="3">
        <v>2000</v>
      </c>
      <c r="N192" t="s">
        <v>42</v>
      </c>
      <c r="O192" t="s">
        <v>26</v>
      </c>
      <c r="P192" t="s">
        <v>27</v>
      </c>
      <c r="Q192" t="s">
        <v>27</v>
      </c>
      <c r="R192" s="3">
        <v>40120</v>
      </c>
      <c r="S192" t="str">
        <f>TEXT(personal_finance_dashboard_data_200_rows[[#This Row],[Date]],"mmm")</f>
        <v>Jun</v>
      </c>
      <c r="T192">
        <f>MONTH(personal_finance_dashboard_data_200_rows[[#This Row],[Date]])</f>
        <v>6</v>
      </c>
      <c r="U192" t="str">
        <f>"Q"&amp;ROUNDUP(MONTH(personal_finance_dashboard_data_200_rows[[#This Row],[Date]])/3,0)</f>
        <v>Q2</v>
      </c>
      <c r="V192" t="s">
        <v>342</v>
      </c>
    </row>
    <row r="193" spans="1:22" x14ac:dyDescent="0.3">
      <c r="A193" t="s">
        <v>209</v>
      </c>
      <c r="B193" s="1">
        <v>46199</v>
      </c>
      <c r="C193">
        <v>2026</v>
      </c>
      <c r="D193" t="s">
        <v>19</v>
      </c>
      <c r="E193" t="s">
        <v>20</v>
      </c>
      <c r="F193" t="s">
        <v>92</v>
      </c>
      <c r="G193" t="s">
        <v>93</v>
      </c>
      <c r="H193" t="s">
        <v>40</v>
      </c>
      <c r="I193" t="s">
        <v>94</v>
      </c>
      <c r="J193" t="s">
        <v>93</v>
      </c>
      <c r="K193" s="3">
        <v>3147</v>
      </c>
      <c r="L193" s="3">
        <v>5000</v>
      </c>
      <c r="M193" s="3">
        <v>0</v>
      </c>
      <c r="N193" t="s">
        <v>97</v>
      </c>
      <c r="O193" t="s">
        <v>26</v>
      </c>
      <c r="P193" t="s">
        <v>35</v>
      </c>
      <c r="Q193" t="s">
        <v>27</v>
      </c>
      <c r="R193" s="3">
        <v>29449</v>
      </c>
      <c r="S193" t="str">
        <f>TEXT(personal_finance_dashboard_data_200_rows[[#This Row],[Date]],"mmm")</f>
        <v>Jun</v>
      </c>
      <c r="T193">
        <f>MONTH(personal_finance_dashboard_data_200_rows[[#This Row],[Date]])</f>
        <v>6</v>
      </c>
      <c r="U193" t="str">
        <f>"Q"&amp;ROUNDUP(MONTH(personal_finance_dashboard_data_200_rows[[#This Row],[Date]])/3,0)</f>
        <v>Q2</v>
      </c>
      <c r="V193" t="s">
        <v>345</v>
      </c>
    </row>
    <row r="194" spans="1:22" x14ac:dyDescent="0.3">
      <c r="A194" t="s">
        <v>248</v>
      </c>
      <c r="B194" s="1">
        <v>46199</v>
      </c>
      <c r="C194">
        <v>2026</v>
      </c>
      <c r="D194" t="s">
        <v>60</v>
      </c>
      <c r="E194" t="s">
        <v>20</v>
      </c>
      <c r="F194" t="s">
        <v>110</v>
      </c>
      <c r="G194" t="s">
        <v>111</v>
      </c>
      <c r="H194" t="s">
        <v>23</v>
      </c>
      <c r="I194" t="s">
        <v>154</v>
      </c>
      <c r="J194" t="s">
        <v>111</v>
      </c>
      <c r="K194" s="3">
        <v>2567</v>
      </c>
      <c r="L194" s="3">
        <v>5000</v>
      </c>
      <c r="M194" s="3">
        <v>0</v>
      </c>
      <c r="N194" t="s">
        <v>42</v>
      </c>
      <c r="O194" t="s">
        <v>26</v>
      </c>
      <c r="P194" t="s">
        <v>27</v>
      </c>
      <c r="Q194" t="s">
        <v>27</v>
      </c>
      <c r="R194" s="3">
        <v>206172</v>
      </c>
      <c r="S194" t="str">
        <f>TEXT(personal_finance_dashboard_data_200_rows[[#This Row],[Date]],"mmm")</f>
        <v>Jun</v>
      </c>
      <c r="T194">
        <f>MONTH(personal_finance_dashboard_data_200_rows[[#This Row],[Date]])</f>
        <v>6</v>
      </c>
      <c r="U194" t="str">
        <f>"Q"&amp;ROUNDUP(MONTH(personal_finance_dashboard_data_200_rows[[#This Row],[Date]])/3,0)</f>
        <v>Q2</v>
      </c>
      <c r="V194" t="s">
        <v>343</v>
      </c>
    </row>
    <row r="195" spans="1:22" x14ac:dyDescent="0.3">
      <c r="A195" t="s">
        <v>268</v>
      </c>
      <c r="B195" s="1">
        <v>46199</v>
      </c>
      <c r="C195">
        <v>2026</v>
      </c>
      <c r="D195" t="s">
        <v>60</v>
      </c>
      <c r="E195" t="s">
        <v>20</v>
      </c>
      <c r="F195" t="s">
        <v>45</v>
      </c>
      <c r="G195" t="s">
        <v>46</v>
      </c>
      <c r="H195" t="s">
        <v>68</v>
      </c>
      <c r="I195" t="s">
        <v>96</v>
      </c>
      <c r="J195" t="s">
        <v>46</v>
      </c>
      <c r="K195" s="3">
        <v>22000</v>
      </c>
      <c r="L195" s="3">
        <v>20000</v>
      </c>
      <c r="M195" s="3">
        <v>1000</v>
      </c>
      <c r="N195" t="s">
        <v>64</v>
      </c>
      <c r="O195" t="s">
        <v>26</v>
      </c>
      <c r="P195" t="s">
        <v>35</v>
      </c>
      <c r="Q195" t="s">
        <v>27</v>
      </c>
      <c r="R195" s="3">
        <v>106116</v>
      </c>
      <c r="S195" t="str">
        <f>TEXT(personal_finance_dashboard_data_200_rows[[#This Row],[Date]],"mmm")</f>
        <v>Jun</v>
      </c>
      <c r="T195">
        <f>MONTH(personal_finance_dashboard_data_200_rows[[#This Row],[Date]])</f>
        <v>6</v>
      </c>
      <c r="U195" t="str">
        <f>"Q"&amp;ROUNDUP(MONTH(personal_finance_dashboard_data_200_rows[[#This Row],[Date]])/3,0)</f>
        <v>Q2</v>
      </c>
      <c r="V195" t="s">
        <v>343</v>
      </c>
    </row>
    <row r="196" spans="1:22" x14ac:dyDescent="0.3">
      <c r="A196" t="s">
        <v>294</v>
      </c>
      <c r="B196" s="1">
        <v>46200</v>
      </c>
      <c r="C196">
        <v>2026</v>
      </c>
      <c r="D196" t="s">
        <v>19</v>
      </c>
      <c r="E196" t="s">
        <v>20</v>
      </c>
      <c r="F196" t="s">
        <v>38</v>
      </c>
      <c r="G196" t="s">
        <v>295</v>
      </c>
      <c r="H196" t="s">
        <v>100</v>
      </c>
      <c r="I196" t="s">
        <v>296</v>
      </c>
      <c r="J196" t="s">
        <v>295</v>
      </c>
      <c r="K196" s="3">
        <v>7736</v>
      </c>
      <c r="L196" s="3">
        <v>8000</v>
      </c>
      <c r="M196" s="3">
        <v>1000</v>
      </c>
      <c r="N196" t="s">
        <v>42</v>
      </c>
      <c r="O196" t="s">
        <v>26</v>
      </c>
      <c r="P196" t="s">
        <v>27</v>
      </c>
      <c r="Q196" t="s">
        <v>35</v>
      </c>
      <c r="R196" s="3">
        <v>56461</v>
      </c>
      <c r="S196" t="str">
        <f>TEXT(personal_finance_dashboard_data_200_rows[[#This Row],[Date]],"mmm")</f>
        <v>Jun</v>
      </c>
      <c r="T196">
        <f>MONTH(personal_finance_dashboard_data_200_rows[[#This Row],[Date]])</f>
        <v>6</v>
      </c>
      <c r="U196" t="str">
        <f>"Q"&amp;ROUNDUP(MONTH(personal_finance_dashboard_data_200_rows[[#This Row],[Date]])/3,0)</f>
        <v>Q2</v>
      </c>
      <c r="V196" t="s">
        <v>343</v>
      </c>
    </row>
    <row r="197" spans="1:22" x14ac:dyDescent="0.3">
      <c r="A197" t="s">
        <v>150</v>
      </c>
      <c r="B197" s="1">
        <v>46202</v>
      </c>
      <c r="C197">
        <v>2026</v>
      </c>
      <c r="D197" t="s">
        <v>44</v>
      </c>
      <c r="E197" t="s">
        <v>20</v>
      </c>
      <c r="F197" t="s">
        <v>74</v>
      </c>
      <c r="G197" t="s">
        <v>81</v>
      </c>
      <c r="H197" t="s">
        <v>52</v>
      </c>
      <c r="I197" t="s">
        <v>82</v>
      </c>
      <c r="J197" t="s">
        <v>81</v>
      </c>
      <c r="K197" s="3">
        <v>11877</v>
      </c>
      <c r="L197" s="3">
        <v>10000</v>
      </c>
      <c r="M197" s="3">
        <v>500</v>
      </c>
      <c r="N197" t="s">
        <v>42</v>
      </c>
      <c r="O197" t="s">
        <v>26</v>
      </c>
      <c r="P197" t="s">
        <v>27</v>
      </c>
      <c r="Q197" t="s">
        <v>27</v>
      </c>
      <c r="R197" s="3">
        <v>100711</v>
      </c>
      <c r="S197" t="str">
        <f>TEXT(personal_finance_dashboard_data_200_rows[[#This Row],[Date]],"mmm")</f>
        <v>Jun</v>
      </c>
      <c r="T197">
        <f>MONTH(personal_finance_dashboard_data_200_rows[[#This Row],[Date]])</f>
        <v>6</v>
      </c>
      <c r="U197" t="str">
        <f>"Q"&amp;ROUNDUP(MONTH(personal_finance_dashboard_data_200_rows[[#This Row],[Date]])/3,0)</f>
        <v>Q2</v>
      </c>
      <c r="V197" t="s">
        <v>343</v>
      </c>
    </row>
    <row r="198" spans="1:22" x14ac:dyDescent="0.3">
      <c r="A198" t="s">
        <v>170</v>
      </c>
      <c r="B198" s="1">
        <v>46203</v>
      </c>
      <c r="C198">
        <v>2026</v>
      </c>
      <c r="D198" t="s">
        <v>60</v>
      </c>
      <c r="E198" t="s">
        <v>20</v>
      </c>
      <c r="F198" t="s">
        <v>38</v>
      </c>
      <c r="G198" t="s">
        <v>71</v>
      </c>
      <c r="H198" t="s">
        <v>68</v>
      </c>
      <c r="I198" t="s">
        <v>72</v>
      </c>
      <c r="J198" t="s">
        <v>71</v>
      </c>
      <c r="K198" s="3">
        <v>6982</v>
      </c>
      <c r="L198" s="3">
        <v>8000</v>
      </c>
      <c r="M198" s="3">
        <v>2000</v>
      </c>
      <c r="N198" t="s">
        <v>25</v>
      </c>
      <c r="O198" t="s">
        <v>26</v>
      </c>
      <c r="P198" t="s">
        <v>27</v>
      </c>
      <c r="Q198" t="s">
        <v>35</v>
      </c>
      <c r="R198" s="3">
        <v>112802</v>
      </c>
      <c r="S198" t="str">
        <f>TEXT(personal_finance_dashboard_data_200_rows[[#This Row],[Date]],"mmm")</f>
        <v>Jun</v>
      </c>
      <c r="T198">
        <f>MONTH(personal_finance_dashboard_data_200_rows[[#This Row],[Date]])</f>
        <v>6</v>
      </c>
      <c r="U198" t="str">
        <f>"Q"&amp;ROUNDUP(MONTH(personal_finance_dashboard_data_200_rows[[#This Row],[Date]])/3,0)</f>
        <v>Q2</v>
      </c>
      <c r="V198" t="s">
        <v>343</v>
      </c>
    </row>
    <row r="199" spans="1:22" x14ac:dyDescent="0.3">
      <c r="A199" t="s">
        <v>141</v>
      </c>
      <c r="B199" s="1">
        <v>46204</v>
      </c>
      <c r="C199">
        <v>2026</v>
      </c>
      <c r="D199" t="s">
        <v>37</v>
      </c>
      <c r="E199" t="s">
        <v>20</v>
      </c>
      <c r="F199" t="s">
        <v>66</v>
      </c>
      <c r="G199" t="s">
        <v>130</v>
      </c>
      <c r="H199" t="s">
        <v>32</v>
      </c>
      <c r="I199" t="s">
        <v>131</v>
      </c>
      <c r="J199" t="s">
        <v>130</v>
      </c>
      <c r="K199" s="3">
        <v>14124</v>
      </c>
      <c r="L199" s="3">
        <v>2000</v>
      </c>
      <c r="M199" s="3">
        <v>0</v>
      </c>
      <c r="N199" t="s">
        <v>25</v>
      </c>
      <c r="O199" t="s">
        <v>26</v>
      </c>
      <c r="P199" t="s">
        <v>35</v>
      </c>
      <c r="Q199" t="s">
        <v>35</v>
      </c>
      <c r="R199" s="3">
        <v>126365</v>
      </c>
      <c r="S199" t="str">
        <f>TEXT(personal_finance_dashboard_data_200_rows[[#This Row],[Date]],"mmm")</f>
        <v>Jul</v>
      </c>
      <c r="T199">
        <f>MONTH(personal_finance_dashboard_data_200_rows[[#This Row],[Date]])</f>
        <v>7</v>
      </c>
      <c r="U199" t="str">
        <f>"Q"&amp;ROUNDUP(MONTH(personal_finance_dashboard_data_200_rows[[#This Row],[Date]])/3,0)</f>
        <v>Q3</v>
      </c>
      <c r="V199" t="s">
        <v>342</v>
      </c>
    </row>
    <row r="200" spans="1:22" x14ac:dyDescent="0.3">
      <c r="A200" t="s">
        <v>184</v>
      </c>
      <c r="B200" s="1">
        <v>46204</v>
      </c>
      <c r="C200">
        <v>2026</v>
      </c>
      <c r="D200" t="s">
        <v>60</v>
      </c>
      <c r="E200" t="s">
        <v>20</v>
      </c>
      <c r="F200" t="s">
        <v>110</v>
      </c>
      <c r="G200" t="s">
        <v>111</v>
      </c>
      <c r="H200" t="s">
        <v>100</v>
      </c>
      <c r="I200" t="s">
        <v>154</v>
      </c>
      <c r="J200" t="s">
        <v>111</v>
      </c>
      <c r="K200" s="3">
        <v>1713</v>
      </c>
      <c r="L200" s="3">
        <v>5000</v>
      </c>
      <c r="M200" s="3">
        <v>2000</v>
      </c>
      <c r="N200" t="s">
        <v>97</v>
      </c>
      <c r="O200" t="s">
        <v>26</v>
      </c>
      <c r="P200" t="s">
        <v>35</v>
      </c>
      <c r="Q200" t="s">
        <v>27</v>
      </c>
      <c r="R200" s="3">
        <v>151863</v>
      </c>
      <c r="S200" t="str">
        <f>TEXT(personal_finance_dashboard_data_200_rows[[#This Row],[Date]],"mmm")</f>
        <v>Jul</v>
      </c>
      <c r="T200">
        <f>MONTH(personal_finance_dashboard_data_200_rows[[#This Row],[Date]])</f>
        <v>7</v>
      </c>
      <c r="U200" t="str">
        <f>"Q"&amp;ROUNDUP(MONTH(personal_finance_dashboard_data_200_rows[[#This Row],[Date]])/3,0)</f>
        <v>Q3</v>
      </c>
      <c r="V200" t="s">
        <v>342</v>
      </c>
    </row>
    <row r="201" spans="1:22" x14ac:dyDescent="0.3">
      <c r="A201" t="s">
        <v>281</v>
      </c>
      <c r="B201" s="1">
        <v>46204</v>
      </c>
      <c r="C201">
        <v>2026</v>
      </c>
      <c r="D201" t="s">
        <v>37</v>
      </c>
      <c r="E201" t="s">
        <v>29</v>
      </c>
      <c r="F201" t="s">
        <v>30</v>
      </c>
      <c r="G201" t="s">
        <v>31</v>
      </c>
      <c r="H201" t="s">
        <v>100</v>
      </c>
      <c r="I201" t="s">
        <v>33</v>
      </c>
      <c r="J201" t="s">
        <v>34</v>
      </c>
      <c r="K201" s="3">
        <v>60000</v>
      </c>
      <c r="L201" s="3">
        <v>0</v>
      </c>
      <c r="M201" s="3">
        <v>2000</v>
      </c>
      <c r="N201" t="s">
        <v>48</v>
      </c>
      <c r="O201" t="s">
        <v>26</v>
      </c>
      <c r="P201" t="s">
        <v>35</v>
      </c>
      <c r="Q201" t="s">
        <v>35</v>
      </c>
      <c r="R201" s="3">
        <v>93824</v>
      </c>
      <c r="S201" t="str">
        <f>TEXT(personal_finance_dashboard_data_200_rows[[#This Row],[Date]],"mmm")</f>
        <v>Jul</v>
      </c>
      <c r="T201">
        <f>MONTH(personal_finance_dashboard_data_200_rows[[#This Row],[Date]])</f>
        <v>7</v>
      </c>
      <c r="U201" t="str">
        <f>"Q"&amp;ROUNDUP(MONTH(personal_finance_dashboard_data_200_rows[[#This Row],[Date]])/3,0)</f>
        <v>Q3</v>
      </c>
      <c r="V201" t="s">
        <v>345</v>
      </c>
    </row>
    <row r="202" spans="1:22" x14ac:dyDescent="0.3">
      <c r="B202" s="1"/>
      <c r="K202" s="3"/>
      <c r="L202" s="3"/>
      <c r="M202" s="3"/>
      <c r="R202" s="3"/>
    </row>
    <row r="203" spans="1:22" x14ac:dyDescent="0.3">
      <c r="B203" s="1"/>
      <c r="K203" s="3"/>
      <c r="L203" s="3"/>
      <c r="M203" s="3"/>
      <c r="R203" s="3"/>
    </row>
    <row r="204" spans="1:22" x14ac:dyDescent="0.3">
      <c r="B204" s="1"/>
      <c r="K204" s="3"/>
      <c r="L204" s="3"/>
      <c r="M204" s="3"/>
      <c r="R204" s="3"/>
    </row>
    <row r="205" spans="1:22" x14ac:dyDescent="0.3">
      <c r="B205" s="1"/>
      <c r="K205" s="3"/>
      <c r="L205" s="3"/>
      <c r="M205" s="3"/>
      <c r="R205" s="3"/>
    </row>
  </sheetData>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932E574-E93F-426B-B585-2271C238FB7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Dashboard (2)</vt:lpstr>
      <vt:lpstr>Dashboard</vt:lpstr>
      <vt:lpstr>Pivot</vt:lpstr>
      <vt:lpstr>personal_finance_dashboard_data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 Tayyab</dc:creator>
  <cp:lastModifiedBy>M. Tayyab</cp:lastModifiedBy>
  <dcterms:created xsi:type="dcterms:W3CDTF">2026-09-10T09:37:29Z</dcterms:created>
  <dcterms:modified xsi:type="dcterms:W3CDTF">2026-10-02T20:47:16Z</dcterms:modified>
</cp:coreProperties>
</file>